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0.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1.xml" ContentType="application/vnd.openxmlformats-officedocument.drawing+xml"/>
  <Override PartName="/xl/charts/chart2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b72b5237b8b8d8d/Documents/"/>
    </mc:Choice>
  </mc:AlternateContent>
  <xr:revisionPtr revIDLastSave="39" documentId="8_{57F1C7DC-3E05-4402-A67C-E9F5B0CB966F}" xr6:coauthVersionLast="47" xr6:coauthVersionMax="47" xr10:uidLastSave="{A8960252-25C8-4F4D-B39A-7339080AD77F}"/>
  <bookViews>
    <workbookView xWindow="-108" yWindow="-108" windowWidth="23256" windowHeight="12456" firstSheet="8" activeTab="11" xr2:uid="{00000000-000D-0000-FFFF-FFFF00000000}"/>
  </bookViews>
  <sheets>
    <sheet name="Sheet1" sheetId="5" r:id="rId1"/>
    <sheet name="Equipment Runtime " sheetId="6" r:id="rId2"/>
    <sheet name="Downtime Analyse" sheetId="7" r:id="rId3"/>
    <sheet name="Sheet5" sheetId="9" r:id="rId4"/>
    <sheet name="Executive Summary" sheetId="10" r:id="rId5"/>
    <sheet name="Sheet3" sheetId="11" r:id="rId6"/>
    <sheet name="Operational Efficiency" sheetId="14" r:id="rId7"/>
    <sheet name="Sheet12" sheetId="19" r:id="rId8"/>
    <sheet name="HOSPITAL DASHBOARD" sheetId="23" r:id="rId9"/>
    <sheet name="Hospital_Equipment_Analysis" sheetId="1" r:id="rId10"/>
    <sheet name="Summary_Insights" sheetId="2" r:id="rId11"/>
    <sheet name="Aggregated_Data" sheetId="3" r:id="rId12"/>
    <sheet name="Charts" sheetId="4" r:id="rId13"/>
  </sheets>
  <definedNames>
    <definedName name="_xlcn.WorksheetConnection_Hospital_Equipment_Analysis.xlsxTable11" hidden="1">Table1</definedName>
    <definedName name="_xlcn.WorksheetConnection_Raw_DataA1N3011" hidden="1">Hospital_Equipment_Analysis!$A$1:$N$301</definedName>
    <definedName name="_xlcn.WorksheetConnection_Raw_DataA1P3011" hidden="1">Hospital_Equipment_Analysis!$A$1:$P$301</definedName>
    <definedName name="Slicer_Department">#N/A</definedName>
    <definedName name="Slicer_Department1">#N/A</definedName>
    <definedName name="Slicer_Equipment_Name">#N/A</definedName>
    <definedName name="Slicer_Equipment_Name1">#N/A</definedName>
    <definedName name="Slicer_Maintenance_Type">#N/A</definedName>
    <definedName name="Slicer_Status">#N/A</definedName>
  </definedNames>
  <calcPr calcId="191029"/>
  <pivotCaches>
    <pivotCache cacheId="0" r:id="rId14"/>
    <pivotCache cacheId="1" r:id="rId15"/>
    <pivotCache cacheId="17" r:id="rId16"/>
    <pivotCache cacheId="20" r:id="rId17"/>
    <pivotCache cacheId="23" r:id="rId18"/>
    <pivotCache cacheId="26" r:id="rId19"/>
    <pivotCache cacheId="29" r:id="rId20"/>
    <pivotCache cacheId="32" r:id="rId21"/>
  </pivotCaches>
  <extLst>
    <ext xmlns:x14="http://schemas.microsoft.com/office/spreadsheetml/2009/9/main" uri="{876F7934-8845-4945-9796-88D515C7AA90}">
      <x14:pivotCaches>
        <pivotCache cacheId="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A$1:$P$301"/>
          <x15:modelTable id="Range 1" name="Range 1" connection="WorksheetConnection_Raw_Data!$A$1:$N$301"/>
          <x15:modelTable id="Table1" name="Table1" connection="WorksheetConnection_Hospital_Equipment_Analysis.xlsx!Table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S2" i="1"/>
  <c r="R2" i="1"/>
  <c r="O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8E3482-143B-4FA1-B6B8-CBFA460C2F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0A1650-8431-4AE0-9608-C6A9A3D77139}" name="WorksheetConnection_Hospital_Equipment_Analysis.xlsx!Table1" type="102" refreshedVersion="8" minRefreshableVersion="5">
    <extLst>
      <ext xmlns:x15="http://schemas.microsoft.com/office/spreadsheetml/2010/11/main" uri="{DE250136-89BD-433C-8126-D09CA5730AF9}">
        <x15:connection id="Table1">
          <x15:rangePr sourceName="_xlcn.WorksheetConnection_Hospital_Equipment_Analysis.xlsxTable11"/>
        </x15:connection>
      </ext>
    </extLst>
  </connection>
  <connection id="3" xr16:uid="{03B8A641-81CF-4991-96EB-D2970895B58C}" name="WorksheetConnection_Raw_Data!$A$1:$N$301" type="102" refreshedVersion="8" minRefreshableVersion="5">
    <extLst>
      <ext xmlns:x15="http://schemas.microsoft.com/office/spreadsheetml/2010/11/main" uri="{DE250136-89BD-433C-8126-D09CA5730AF9}">
        <x15:connection id="Range 1" autoDelete="1">
          <x15:rangePr sourceName="_xlcn.WorksheetConnection_Raw_DataA1N3011"/>
        </x15:connection>
      </ext>
    </extLst>
  </connection>
  <connection id="4" xr16:uid="{25D714FA-1261-4C55-9BD3-79D742D40F09}" name="WorksheetConnection_Raw_Data!$A$1:$P$301" type="102" refreshedVersion="8" minRefreshableVersion="5">
    <extLst>
      <ext xmlns:x15="http://schemas.microsoft.com/office/spreadsheetml/2010/11/main" uri="{DE250136-89BD-433C-8126-D09CA5730AF9}">
        <x15:connection id="Range" autoDelete="1">
          <x15:rangePr sourceName="_xlcn.WorksheetConnection_Raw_DataA1P3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Range 1].[Department].&amp;[Radiology]}"/>
    <s v="{[Range].[Date].[All]}"/>
    <s v="{[Range].[Equipment_ID].[All]}"/>
    <s v="{[Range].[Department].&amp;[OT],[Range].[Department].&amp;[ICU],[Range].[Department].&amp;[Nephrology],[Range].[Department].&amp;[General Ward]}"/>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<sst xmlns="http://schemas.openxmlformats.org/spreadsheetml/2006/main" count="2563" uniqueCount="143">
  <si>
    <t>Equipment_ID</t>
  </si>
  <si>
    <t>Equipment_Name</t>
  </si>
  <si>
    <t>Department</t>
  </si>
  <si>
    <t>Date</t>
  </si>
  <si>
    <t>Scheduled_Hours</t>
  </si>
  <si>
    <t>Actual_Usage_Hours</t>
  </si>
  <si>
    <t>Downtime_Hours</t>
  </si>
  <si>
    <t>Downtime_Reason</t>
  </si>
  <si>
    <t>Maintenance_Type</t>
  </si>
  <si>
    <t>Technician_ID</t>
  </si>
  <si>
    <t>Status</t>
  </si>
  <si>
    <t>Utilization_Rate(%)</t>
  </si>
  <si>
    <t>Downtime_Rate(%)</t>
  </si>
  <si>
    <t>Efficiency_Gap</t>
  </si>
  <si>
    <t>EQ011</t>
  </si>
  <si>
    <t>Surgical Robot</t>
  </si>
  <si>
    <t>ICU</t>
  </si>
  <si>
    <t>Scheduled Maintenance</t>
  </si>
  <si>
    <t>Scheduled</t>
  </si>
  <si>
    <t>TECH02</t>
  </si>
  <si>
    <t>Under Repair</t>
  </si>
  <si>
    <t>EQ010</t>
  </si>
  <si>
    <t>Anesthesia Machine</t>
  </si>
  <si>
    <t>Emergency</t>
  </si>
  <si>
    <t>TECH04</t>
  </si>
  <si>
    <t>Idle</t>
  </si>
  <si>
    <t>EQ004</t>
  </si>
  <si>
    <t>X-Ray Machine</t>
  </si>
  <si>
    <t>None</t>
  </si>
  <si>
    <t>TECH03</t>
  </si>
  <si>
    <t>EQ006</t>
  </si>
  <si>
    <t>ECG Machine</t>
  </si>
  <si>
    <t>OT</t>
  </si>
  <si>
    <t>Operator Unavailable</t>
  </si>
  <si>
    <t>Unscheduled</t>
  </si>
  <si>
    <t>Active</t>
  </si>
  <si>
    <t>Cardiology</t>
  </si>
  <si>
    <t>Malfunction</t>
  </si>
  <si>
    <t>TECH05</t>
  </si>
  <si>
    <t>General Ward</t>
  </si>
  <si>
    <t>TECH06</t>
  </si>
  <si>
    <t>Nephrology</t>
  </si>
  <si>
    <t>Part Replacement</t>
  </si>
  <si>
    <t>EQ003</t>
  </si>
  <si>
    <t>Ventilator</t>
  </si>
  <si>
    <t>EQ001</t>
  </si>
  <si>
    <t>MRI Scanner</t>
  </si>
  <si>
    <t>Radiology</t>
  </si>
  <si>
    <t>Software Glitch</t>
  </si>
  <si>
    <t>TECH07</t>
  </si>
  <si>
    <t>TECH01</t>
  </si>
  <si>
    <t>TECH08</t>
  </si>
  <si>
    <t>EQ002</t>
  </si>
  <si>
    <t>CT Scanner</t>
  </si>
  <si>
    <t>EQ007</t>
  </si>
  <si>
    <t>Defibrillator</t>
  </si>
  <si>
    <t>Calibration</t>
  </si>
  <si>
    <t>EQ009</t>
  </si>
  <si>
    <t>Patient Monitor</t>
  </si>
  <si>
    <t>EQ005</t>
  </si>
  <si>
    <t>Ultrasound Machine</t>
  </si>
  <si>
    <t>Power Failure</t>
  </si>
  <si>
    <t>EQ012</t>
  </si>
  <si>
    <t>Dialysis Machine</t>
  </si>
  <si>
    <t>EQ008</t>
  </si>
  <si>
    <t>Infusion Pump</t>
  </si>
  <si>
    <t>Hospital Equipment — Key Findings &amp; Recommendations</t>
  </si>
  <si>
    <t>Finding</t>
  </si>
  <si>
    <t>Insight</t>
  </si>
  <si>
    <t>Recommendation</t>
  </si>
  <si>
    <t>MRI Scanner Utilization</t>
  </si>
  <si>
    <t>Avg utilization ~52% — underused</t>
  </si>
  <si>
    <t>Reschedule to peak-demand shifts</t>
  </si>
  <si>
    <t>ICU Downtime</t>
  </si>
  <si>
    <t>ICU has highest downtime hours</t>
  </si>
  <si>
    <t>Weekly preventive checks for ICU equipment</t>
  </si>
  <si>
    <t>Unscheduled Maintenance</t>
  </si>
  <si>
    <t>60%+ downtime is unscheduled</t>
  </si>
  <si>
    <t>Implement predictive maintenance</t>
  </si>
  <si>
    <t>Ventilator Overload</t>
  </si>
  <si>
    <t>Utilization consistently &gt;93%</t>
  </si>
  <si>
    <t>Procure 2 additional ventilators</t>
  </si>
  <si>
    <t>Power Failure Downtime</t>
  </si>
  <si>
    <t>~12% of downtime from power failures</t>
  </si>
  <si>
    <t>Install UPS for critical equipment</t>
  </si>
  <si>
    <t>~8% downtime due to staff absence</t>
  </si>
  <si>
    <t>Cross-train staff; create schedules</t>
  </si>
  <si>
    <t>Seasonal Dip</t>
  </si>
  <si>
    <t>Utilization dips in Feb &amp; June</t>
  </si>
  <si>
    <t>Schedule maintenance in low-use months</t>
  </si>
  <si>
    <t>Highest downtime rate overall</t>
  </si>
  <si>
    <t>Prioritise for preventive maintenance</t>
  </si>
  <si>
    <t>Avg_Utilization(%)</t>
  </si>
  <si>
    <t>Total_Downtime_Hrs</t>
  </si>
  <si>
    <t>Row Labels</t>
  </si>
  <si>
    <t>Grand Total</t>
  </si>
  <si>
    <t>Column Labels</t>
  </si>
  <si>
    <t>(All)</t>
  </si>
  <si>
    <t>TECH02 Total</t>
  </si>
  <si>
    <t>TECH03 Total</t>
  </si>
  <si>
    <t>TECH07 Total</t>
  </si>
  <si>
    <t>Count of Equipment_ID</t>
  </si>
  <si>
    <t>Active Total</t>
  </si>
  <si>
    <t>Idle Total</t>
  </si>
  <si>
    <t>Under Repair Total</t>
  </si>
  <si>
    <t>(Multiple Items)</t>
  </si>
  <si>
    <t>Formula1</t>
  </si>
  <si>
    <t>Formula2</t>
  </si>
  <si>
    <t>Formula3</t>
  </si>
  <si>
    <t>Formula4</t>
  </si>
  <si>
    <t>Formula5</t>
  </si>
  <si>
    <t>Formula6</t>
  </si>
  <si>
    <t>Sum of Utilization_Rate(%)</t>
  </si>
  <si>
    <t>Sum of Downtime_Rate(%)</t>
  </si>
  <si>
    <t>Sum of Efficiency_Gap</t>
  </si>
  <si>
    <t>Total Sum of Downtime_Rate(%)</t>
  </si>
  <si>
    <t>Total Sum of Utilization_Rate(%)</t>
  </si>
  <si>
    <t>Part Replacement Total</t>
  </si>
  <si>
    <t>Total Sum of Efficiency_Gap</t>
  </si>
  <si>
    <t>Formula7</t>
  </si>
  <si>
    <t>Formula8</t>
  </si>
  <si>
    <t>Formula9</t>
  </si>
  <si>
    <t>Formula10</t>
  </si>
  <si>
    <t>Formula11</t>
  </si>
  <si>
    <t>TECH01 Total</t>
  </si>
  <si>
    <t>TECH04 Total</t>
  </si>
  <si>
    <t>TECH05 Total</t>
  </si>
  <si>
    <t>TECH06 Total</t>
  </si>
  <si>
    <t>TECH08 Total</t>
  </si>
  <si>
    <t>Total Equipment</t>
  </si>
  <si>
    <t>Total Department</t>
  </si>
  <si>
    <t>Sum of Downtime_Hours</t>
  </si>
  <si>
    <t>Sum of Scheduled_Hours</t>
  </si>
  <si>
    <t>All</t>
  </si>
  <si>
    <t>Total Sum of Scheduled_Hours</t>
  </si>
  <si>
    <t>Sum of Actual_Usage_Hours</t>
  </si>
  <si>
    <t>Total Sum of Actual_Usage_Hours</t>
  </si>
  <si>
    <t>Total Sum of Downtime_Hours</t>
  </si>
  <si>
    <t>Total Utilization rate</t>
  </si>
  <si>
    <t>Total Downtime Rate</t>
  </si>
  <si>
    <t>Total Efficiency</t>
  </si>
  <si>
    <t>Count of Maintenance_Type</t>
  </si>
  <si>
    <t>sni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</si>
</sst>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amily val="2"/>
    </font>
    <font>
      <sz val="10"/>
      <name val="Calibri"/>
      <family val="2"/>
    </font>
    <font>
      <b/>
      <sz val="14"/>
      <color rgb="FFFFFFFF"/>
      <name val="Calibri"/>
      <family val="2"/>
    </font>
    <font>
      <b/>
      <sz val="11"/>
      <color rgb="FFFFFFFF"/>
      <name val="Calibri"/>
      <family val="2"/>
    </font>
    <font>
      <b/>
      <sz val="11"/>
      <color rgb="FFFFFFFF"/>
      <name val="Calibri"/>
      <family val="2"/>
    </font>
    <font>
      <sz val="10"/>
      <name val="Calibri"/>
      <family val="2"/>
    </font>
    <font>
      <sz val="11"/>
      <color theme="1"/>
      <name val="Calibri"/>
      <family val="2"/>
      <scheme val="minor"/>
    </font>
  </fonts>
  <fills count="9">
    <fill>
      <patternFill patternType="none"/>
    </fill>
    <fill>
      <patternFill patternType="gray125"/>
    </fill>
    <fill>
      <patternFill patternType="solid">
        <fgColor rgb="FF17A589"/>
      </patternFill>
    </fill>
    <fill>
      <patternFill patternType="solid">
        <fgColor rgb="FFD1F2EB"/>
      </patternFill>
    </fill>
    <fill>
      <patternFill patternType="solid">
        <fgColor rgb="FFFF6B6B"/>
      </patternFill>
    </fill>
    <fill>
      <patternFill patternType="solid">
        <fgColor rgb="FFFFFFFF"/>
      </patternFill>
    </fill>
    <fill>
      <patternFill patternType="solid">
        <fgColor rgb="FF82E0AA"/>
      </patternFill>
    </fill>
    <fill>
      <patternFill patternType="solid">
        <fgColor rgb="FFFFF176"/>
      </patternFill>
    </fill>
    <fill>
      <patternFill patternType="solid">
        <fgColor rgb="FF0E6655"/>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4">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xf>
    <xf numFmtId="164" fontId="2" fillId="3" borderId="0" xfId="0" applyNumberFormat="1"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164" fontId="2" fillId="5" borderId="0" xfId="0" applyNumberFormat="1"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1" fillId="2" borderId="0" xfId="0" applyFont="1" applyFill="1" applyAlignment="1">
      <alignment horizontal="center" vertical="center"/>
    </xf>
    <xf numFmtId="0" fontId="2" fillId="5" borderId="0" xfId="0" applyFont="1" applyFill="1" applyAlignment="1">
      <alignment vertical="center" wrapText="1"/>
    </xf>
    <xf numFmtId="0" fontId="2" fillId="3" borderId="0" xfId="0" applyFont="1" applyFill="1" applyAlignment="1">
      <alignment vertical="center" wrapText="1"/>
    </xf>
    <xf numFmtId="0" fontId="4" fillId="2" borderId="0" xfId="0" applyFont="1" applyFill="1" applyAlignment="1">
      <alignment horizontal="center"/>
    </xf>
    <xf numFmtId="0" fontId="2" fillId="3" borderId="0" xfId="0" applyFont="1" applyFill="1" applyAlignment="1">
      <alignment horizontal="center"/>
    </xf>
    <xf numFmtId="0" fontId="2" fillId="5"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5" fillId="2" borderId="0" xfId="0" applyFont="1" applyFill="1" applyAlignment="1">
      <alignment horizontal="center" vertical="center" wrapText="1"/>
    </xf>
    <xf numFmtId="0" fontId="6" fillId="3" borderId="0" xfId="0" applyFont="1" applyFill="1" applyAlignment="1">
      <alignment horizontal="center" vertical="center"/>
    </xf>
    <xf numFmtId="2" fontId="0" fillId="0" borderId="0" xfId="1" applyNumberFormat="1" applyFont="1"/>
    <xf numFmtId="2" fontId="0" fillId="0" borderId="0" xfId="0" applyNumberFormat="1"/>
    <xf numFmtId="0" fontId="3" fillId="8" borderId="0" xfId="0" applyFont="1" applyFill="1" applyAlignment="1">
      <alignment vertical="center"/>
    </xf>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4.xml"/><Relationship Id="rId39" Type="http://schemas.openxmlformats.org/officeDocument/2006/relationships/customXml" Target="../customXml/item3.xml"/><Relationship Id="rId21" Type="http://schemas.openxmlformats.org/officeDocument/2006/relationships/pivotCacheDefinition" Target="pivotCache/pivotCacheDefinition8.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theme" Target="theme/theme1.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aredStrings" Target="sharedString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tyles" Target="styles.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5.xml"/><Relationship Id="rId30" Type="http://schemas.openxmlformats.org/officeDocument/2006/relationships/connections" Target="connections.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3.xml"/><Relationship Id="rId33" Type="http://schemas.openxmlformats.org/officeDocument/2006/relationships/sheetMetadata" Target="metadata.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7.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a:sp3d/>
        </c:spPr>
      </c:pivotFmt>
      <c:pivotFmt>
        <c:idx val="157"/>
        <c:spPr>
          <a:solidFill>
            <a:schemeClr val="accent1"/>
          </a:solidFill>
          <a:ln>
            <a:noFill/>
          </a:ln>
          <a:effectLst/>
          <a:sp3d/>
        </c:spPr>
      </c:pivotFmt>
      <c:pivotFmt>
        <c:idx val="158"/>
        <c:spPr>
          <a:solidFill>
            <a:schemeClr val="accent1"/>
          </a:solidFill>
          <a:ln>
            <a:noFill/>
          </a:ln>
          <a:effectLst/>
          <a:sp3d/>
        </c:spPr>
      </c:pivotFmt>
      <c:pivotFmt>
        <c:idx val="159"/>
        <c:spPr>
          <a:solidFill>
            <a:schemeClr val="accent1"/>
          </a:solidFill>
          <a:ln>
            <a:noFill/>
          </a:ln>
          <a:effectLst/>
          <a:sp3d/>
        </c:spPr>
      </c:pivotFmt>
      <c:pivotFmt>
        <c:idx val="160"/>
        <c:spPr>
          <a:solidFill>
            <a:schemeClr val="accent1"/>
          </a:solidFill>
          <a:ln>
            <a:noFill/>
          </a:ln>
          <a:effectLst/>
          <a:sp3d/>
        </c:spPr>
      </c:pivotFmt>
      <c:pivotFmt>
        <c:idx val="161"/>
        <c:spPr>
          <a:solidFill>
            <a:schemeClr val="accent1"/>
          </a:solidFill>
          <a:ln>
            <a:noFill/>
          </a:ln>
          <a:effectLst/>
          <a:sp3d/>
        </c:spPr>
      </c:pivotFmt>
      <c:pivotFmt>
        <c:idx val="162"/>
        <c:spPr>
          <a:solidFill>
            <a:schemeClr val="accent1"/>
          </a:solidFill>
          <a:ln>
            <a:noFill/>
          </a:ln>
          <a:effectLst/>
          <a:sp3d/>
        </c:spPr>
      </c:pivotFmt>
      <c:pivotFmt>
        <c:idx val="163"/>
        <c:spPr>
          <a:solidFill>
            <a:schemeClr val="accent1"/>
          </a:solidFill>
          <a:ln>
            <a:noFill/>
          </a:ln>
          <a:effectLst/>
          <a:sp3d/>
        </c:spPr>
      </c:pivotFmt>
      <c:pivotFmt>
        <c:idx val="164"/>
        <c:spPr>
          <a:solidFill>
            <a:schemeClr val="accent1"/>
          </a:solidFill>
          <a:ln>
            <a:noFill/>
          </a:ln>
          <a:effectLst/>
          <a:sp3d/>
        </c:spPr>
      </c:pivotFmt>
      <c:pivotFmt>
        <c:idx val="165"/>
        <c:spPr>
          <a:solidFill>
            <a:schemeClr val="accent1"/>
          </a:solidFill>
          <a:ln>
            <a:noFill/>
          </a:ln>
          <a:effectLst/>
          <a:sp3d/>
        </c:spPr>
      </c:pivotFmt>
      <c:pivotFmt>
        <c:idx val="166"/>
        <c:spPr>
          <a:solidFill>
            <a:schemeClr val="accent1"/>
          </a:solidFill>
          <a:ln>
            <a:noFill/>
          </a:ln>
          <a:effectLst/>
          <a:sp3d/>
        </c:spPr>
      </c:pivotFmt>
      <c:pivotFmt>
        <c:idx val="167"/>
        <c:spPr>
          <a:solidFill>
            <a:schemeClr val="accent1"/>
          </a:solidFill>
          <a:ln>
            <a:noFill/>
          </a:ln>
          <a:effectLst/>
          <a:sp3d/>
        </c:spPr>
      </c:pivotFmt>
      <c:pivotFmt>
        <c:idx val="168"/>
        <c:spPr>
          <a:solidFill>
            <a:schemeClr val="accent1"/>
          </a:solidFill>
          <a:ln>
            <a:noFill/>
          </a:ln>
          <a:effectLst/>
          <a:sp3d/>
        </c:spPr>
      </c:pivotFmt>
      <c:pivotFmt>
        <c:idx val="1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a:sp3d/>
        </c:spPr>
      </c:pivotFmt>
      <c:pivotFmt>
        <c:idx val="171"/>
        <c:spPr>
          <a:solidFill>
            <a:schemeClr val="accent1"/>
          </a:solidFill>
          <a:ln>
            <a:noFill/>
          </a:ln>
          <a:effectLst/>
          <a:sp3d/>
        </c:spPr>
      </c:pivotFmt>
      <c:pivotFmt>
        <c:idx val="172"/>
        <c:spPr>
          <a:solidFill>
            <a:schemeClr val="accent1"/>
          </a:solidFill>
          <a:ln>
            <a:noFill/>
          </a:ln>
          <a:effectLst/>
          <a:sp3d/>
        </c:spPr>
      </c:pivotFmt>
      <c:pivotFmt>
        <c:idx val="173"/>
        <c:spPr>
          <a:solidFill>
            <a:schemeClr val="accent1"/>
          </a:solidFill>
          <a:ln>
            <a:noFill/>
          </a:ln>
          <a:effectLst/>
          <a:sp3d/>
        </c:spPr>
      </c:pivotFmt>
      <c:pivotFmt>
        <c:idx val="174"/>
        <c:spPr>
          <a:solidFill>
            <a:schemeClr val="accent1"/>
          </a:solidFill>
          <a:ln>
            <a:noFill/>
          </a:ln>
          <a:effectLst/>
          <a:sp3d/>
        </c:spPr>
      </c:pivotFmt>
      <c:pivotFmt>
        <c:idx val="175"/>
        <c:spPr>
          <a:solidFill>
            <a:schemeClr val="accent1"/>
          </a:solidFill>
          <a:ln>
            <a:noFill/>
          </a:ln>
          <a:effectLst/>
          <a:sp3d/>
        </c:spPr>
      </c:pivotFmt>
      <c:pivotFmt>
        <c:idx val="176"/>
        <c:spPr>
          <a:solidFill>
            <a:schemeClr val="accent1"/>
          </a:solidFill>
          <a:ln>
            <a:noFill/>
          </a:ln>
          <a:effectLst/>
          <a:sp3d/>
        </c:spPr>
      </c:pivotFmt>
      <c:pivotFmt>
        <c:idx val="177"/>
        <c:spPr>
          <a:solidFill>
            <a:schemeClr val="accent1"/>
          </a:solidFill>
          <a:ln>
            <a:noFill/>
          </a:ln>
          <a:effectLst/>
          <a:sp3d/>
        </c:spPr>
      </c:pivotFmt>
      <c:pivotFmt>
        <c:idx val="178"/>
        <c:spPr>
          <a:solidFill>
            <a:schemeClr val="accent1"/>
          </a:solidFill>
          <a:ln>
            <a:noFill/>
          </a:ln>
          <a:effectLst/>
          <a:sp3d/>
        </c:spPr>
      </c:pivotFmt>
      <c:pivotFmt>
        <c:idx val="179"/>
        <c:spPr>
          <a:solidFill>
            <a:schemeClr val="accent1"/>
          </a:solidFill>
          <a:ln>
            <a:noFill/>
          </a:ln>
          <a:effectLst/>
          <a:sp3d/>
        </c:spPr>
      </c:pivotFmt>
      <c:pivotFmt>
        <c:idx val="180"/>
        <c:spPr>
          <a:solidFill>
            <a:schemeClr val="accent1"/>
          </a:solidFill>
          <a:ln>
            <a:noFill/>
          </a:ln>
          <a:effectLst/>
          <a:sp3d/>
        </c:spPr>
      </c:pivotFmt>
      <c:pivotFmt>
        <c:idx val="181"/>
        <c:spPr>
          <a:solidFill>
            <a:schemeClr val="accent1"/>
          </a:solidFill>
          <a:ln>
            <a:noFill/>
          </a:ln>
          <a:effectLst/>
          <a:sp3d/>
        </c:spPr>
      </c:pivotFmt>
      <c:pivotFmt>
        <c:idx val="182"/>
        <c:spPr>
          <a:solidFill>
            <a:schemeClr val="accent1"/>
          </a:solidFill>
          <a:ln>
            <a:noFill/>
          </a:ln>
          <a:effectLst/>
          <a:sp3d/>
        </c:spPr>
      </c:pivotFmt>
      <c:pivotFmt>
        <c:idx val="1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a:sp3d/>
        </c:spPr>
      </c:pivotFmt>
      <c:pivotFmt>
        <c:idx val="185"/>
        <c:spPr>
          <a:solidFill>
            <a:schemeClr val="accent1"/>
          </a:solidFill>
          <a:ln>
            <a:noFill/>
          </a:ln>
          <a:effectLst/>
          <a:sp3d/>
        </c:spPr>
      </c:pivotFmt>
      <c:pivotFmt>
        <c:idx val="186"/>
        <c:spPr>
          <a:solidFill>
            <a:schemeClr val="accent1"/>
          </a:solidFill>
          <a:ln>
            <a:noFill/>
          </a:ln>
          <a:effectLst/>
          <a:sp3d/>
        </c:spPr>
      </c:pivotFmt>
      <c:pivotFmt>
        <c:idx val="187"/>
        <c:spPr>
          <a:solidFill>
            <a:schemeClr val="accent1"/>
          </a:solidFill>
          <a:ln>
            <a:noFill/>
          </a:ln>
          <a:effectLst/>
          <a:sp3d/>
        </c:spPr>
      </c:pivotFmt>
      <c:pivotFmt>
        <c:idx val="188"/>
        <c:spPr>
          <a:solidFill>
            <a:schemeClr val="accent1"/>
          </a:solidFill>
          <a:ln>
            <a:noFill/>
          </a:ln>
          <a:effectLst/>
          <a:sp3d/>
        </c:spPr>
      </c:pivotFmt>
      <c:pivotFmt>
        <c:idx val="189"/>
        <c:spPr>
          <a:solidFill>
            <a:schemeClr val="accent1"/>
          </a:solidFill>
          <a:ln>
            <a:noFill/>
          </a:ln>
          <a:effectLst/>
          <a:sp3d/>
        </c:spPr>
      </c:pivotFmt>
      <c:pivotFmt>
        <c:idx val="190"/>
        <c:spPr>
          <a:solidFill>
            <a:schemeClr val="accent1"/>
          </a:solidFill>
          <a:ln>
            <a:noFill/>
          </a:ln>
          <a:effectLst/>
          <a:sp3d/>
        </c:spPr>
      </c:pivotFmt>
      <c:pivotFmt>
        <c:idx val="191"/>
        <c:spPr>
          <a:solidFill>
            <a:schemeClr val="accent1"/>
          </a:solidFill>
          <a:ln>
            <a:noFill/>
          </a:ln>
          <a:effectLst/>
          <a:sp3d/>
        </c:spPr>
      </c:pivotFmt>
      <c:pivotFmt>
        <c:idx val="192"/>
        <c:spPr>
          <a:solidFill>
            <a:schemeClr val="accent1"/>
          </a:solidFill>
          <a:ln>
            <a:noFill/>
          </a:ln>
          <a:effectLst/>
          <a:sp3d/>
        </c:spPr>
      </c:pivotFmt>
      <c:pivotFmt>
        <c:idx val="193"/>
        <c:spPr>
          <a:solidFill>
            <a:schemeClr val="accent1"/>
          </a:solidFill>
          <a:ln>
            <a:noFill/>
          </a:ln>
          <a:effectLst/>
          <a:sp3d/>
        </c:spPr>
      </c:pivotFmt>
      <c:pivotFmt>
        <c:idx val="194"/>
        <c:spPr>
          <a:solidFill>
            <a:schemeClr val="accent1"/>
          </a:solidFill>
          <a:ln>
            <a:noFill/>
          </a:ln>
          <a:effectLst/>
          <a:sp3d/>
        </c:spPr>
      </c:pivotFmt>
      <c:pivotFmt>
        <c:idx val="195"/>
        <c:spPr>
          <a:solidFill>
            <a:schemeClr val="accent1"/>
          </a:solidFill>
          <a:ln>
            <a:noFill/>
          </a:ln>
          <a:effectLst/>
          <a:sp3d/>
        </c:spPr>
      </c:pivotFmt>
      <c:pivotFmt>
        <c:idx val="196"/>
        <c:spPr>
          <a:solidFill>
            <a:schemeClr val="accent1"/>
          </a:solidFill>
          <a:ln>
            <a:noFill/>
          </a:ln>
          <a:effectLst/>
          <a:sp3d/>
        </c:spPr>
      </c:pivotFmt>
      <c:pivotFmt>
        <c:idx val="1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a:sp3d/>
        </c:spPr>
      </c:pivotFmt>
      <c:pivotFmt>
        <c:idx val="199"/>
        <c:spPr>
          <a:solidFill>
            <a:schemeClr val="accent1"/>
          </a:solidFill>
          <a:ln>
            <a:noFill/>
          </a:ln>
          <a:effectLst/>
          <a:sp3d/>
        </c:spPr>
      </c:pivotFmt>
      <c:pivotFmt>
        <c:idx val="200"/>
        <c:spPr>
          <a:solidFill>
            <a:schemeClr val="accent1"/>
          </a:solidFill>
          <a:ln>
            <a:noFill/>
          </a:ln>
          <a:effectLst/>
          <a:sp3d/>
        </c:spPr>
      </c:pivotFmt>
      <c:pivotFmt>
        <c:idx val="201"/>
        <c:spPr>
          <a:solidFill>
            <a:schemeClr val="accent1"/>
          </a:solidFill>
          <a:ln>
            <a:noFill/>
          </a:ln>
          <a:effectLst/>
          <a:sp3d/>
        </c:spPr>
      </c:pivotFmt>
      <c:pivotFmt>
        <c:idx val="202"/>
        <c:spPr>
          <a:solidFill>
            <a:schemeClr val="accent1"/>
          </a:solidFill>
          <a:ln>
            <a:noFill/>
          </a:ln>
          <a:effectLst/>
          <a:sp3d/>
        </c:spPr>
      </c:pivotFmt>
      <c:pivotFmt>
        <c:idx val="203"/>
        <c:spPr>
          <a:solidFill>
            <a:schemeClr val="accent1"/>
          </a:solidFill>
          <a:ln>
            <a:noFill/>
          </a:ln>
          <a:effectLst/>
          <a:sp3d/>
        </c:spPr>
      </c:pivotFmt>
      <c:pivotFmt>
        <c:idx val="204"/>
        <c:spPr>
          <a:solidFill>
            <a:schemeClr val="accent1"/>
          </a:solidFill>
          <a:ln>
            <a:noFill/>
          </a:ln>
          <a:effectLst/>
          <a:sp3d/>
        </c:spPr>
      </c:pivotFmt>
      <c:pivotFmt>
        <c:idx val="205"/>
        <c:spPr>
          <a:solidFill>
            <a:schemeClr val="accent1"/>
          </a:solidFill>
          <a:ln>
            <a:noFill/>
          </a:ln>
          <a:effectLst/>
          <a:sp3d/>
        </c:spPr>
      </c:pivotFmt>
      <c:pivotFmt>
        <c:idx val="206"/>
        <c:spPr>
          <a:solidFill>
            <a:schemeClr val="accent1"/>
          </a:solidFill>
          <a:ln>
            <a:noFill/>
          </a:ln>
          <a:effectLst/>
          <a:sp3d/>
        </c:spPr>
      </c:pivotFmt>
      <c:pivotFmt>
        <c:idx val="207"/>
        <c:spPr>
          <a:solidFill>
            <a:schemeClr val="accent1"/>
          </a:solidFill>
          <a:ln>
            <a:noFill/>
          </a:ln>
          <a:effectLst/>
          <a:sp3d/>
        </c:spPr>
      </c:pivotFmt>
      <c:pivotFmt>
        <c:idx val="208"/>
        <c:spPr>
          <a:solidFill>
            <a:schemeClr val="accent1"/>
          </a:solidFill>
          <a:ln>
            <a:noFill/>
          </a:ln>
          <a:effectLst/>
          <a:sp3d/>
        </c:spPr>
      </c:pivotFmt>
      <c:pivotFmt>
        <c:idx val="209"/>
        <c:spPr>
          <a:solidFill>
            <a:schemeClr val="accent1"/>
          </a:solidFill>
          <a:ln>
            <a:noFill/>
          </a:ln>
          <a:effectLst/>
          <a:sp3d/>
        </c:spPr>
      </c:pivotFmt>
      <c:pivotFmt>
        <c:idx val="210"/>
        <c:spPr>
          <a:solidFill>
            <a:schemeClr val="accent1"/>
          </a:solidFill>
          <a:ln>
            <a:noFill/>
          </a:ln>
          <a:effectLst/>
          <a:sp3d/>
        </c:spPr>
      </c:pivotFmt>
      <c:pivotFmt>
        <c:idx val="2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a:sp3d/>
        </c:spPr>
      </c:pivotFmt>
      <c:pivotFmt>
        <c:idx val="213"/>
        <c:spPr>
          <a:solidFill>
            <a:schemeClr val="accent1"/>
          </a:solidFill>
          <a:ln>
            <a:noFill/>
          </a:ln>
          <a:effectLst/>
          <a:sp3d/>
        </c:spPr>
      </c:pivotFmt>
      <c:pivotFmt>
        <c:idx val="214"/>
        <c:spPr>
          <a:solidFill>
            <a:schemeClr val="accent1"/>
          </a:solidFill>
          <a:ln>
            <a:noFill/>
          </a:ln>
          <a:effectLst/>
          <a:sp3d/>
        </c:spPr>
      </c:pivotFmt>
      <c:pivotFmt>
        <c:idx val="215"/>
        <c:spPr>
          <a:solidFill>
            <a:schemeClr val="accent1"/>
          </a:solidFill>
          <a:ln>
            <a:noFill/>
          </a:ln>
          <a:effectLst/>
          <a:sp3d/>
        </c:spPr>
      </c:pivotFmt>
      <c:pivotFmt>
        <c:idx val="216"/>
        <c:spPr>
          <a:solidFill>
            <a:schemeClr val="accent1"/>
          </a:solidFill>
          <a:ln>
            <a:noFill/>
          </a:ln>
          <a:effectLst/>
          <a:sp3d/>
        </c:spPr>
      </c:pivotFmt>
      <c:pivotFmt>
        <c:idx val="217"/>
        <c:spPr>
          <a:solidFill>
            <a:schemeClr val="accent1"/>
          </a:solidFill>
          <a:ln>
            <a:noFill/>
          </a:ln>
          <a:effectLst/>
          <a:sp3d/>
        </c:spPr>
      </c:pivotFmt>
      <c:pivotFmt>
        <c:idx val="218"/>
        <c:spPr>
          <a:solidFill>
            <a:schemeClr val="accent1"/>
          </a:solidFill>
          <a:ln>
            <a:noFill/>
          </a:ln>
          <a:effectLst/>
          <a:sp3d/>
        </c:spPr>
      </c:pivotFmt>
      <c:pivotFmt>
        <c:idx val="219"/>
        <c:spPr>
          <a:solidFill>
            <a:schemeClr val="accent1"/>
          </a:solidFill>
          <a:ln>
            <a:noFill/>
          </a:ln>
          <a:effectLst/>
          <a:sp3d/>
        </c:spPr>
      </c:pivotFmt>
      <c:pivotFmt>
        <c:idx val="220"/>
        <c:spPr>
          <a:solidFill>
            <a:schemeClr val="accent1"/>
          </a:solidFill>
          <a:ln>
            <a:noFill/>
          </a:ln>
          <a:effectLst/>
          <a:sp3d/>
        </c:spPr>
      </c:pivotFmt>
      <c:pivotFmt>
        <c:idx val="221"/>
        <c:spPr>
          <a:solidFill>
            <a:schemeClr val="accent1"/>
          </a:solidFill>
          <a:ln>
            <a:noFill/>
          </a:ln>
          <a:effectLst/>
          <a:sp3d/>
        </c:spPr>
      </c:pivotFmt>
      <c:pivotFmt>
        <c:idx val="222"/>
        <c:spPr>
          <a:solidFill>
            <a:schemeClr val="accent1"/>
          </a:solidFill>
          <a:ln>
            <a:noFill/>
          </a:ln>
          <a:effectLst/>
          <a:sp3d/>
        </c:spPr>
      </c:pivotFmt>
      <c:pivotFmt>
        <c:idx val="223"/>
        <c:spPr>
          <a:solidFill>
            <a:schemeClr val="accent1"/>
          </a:solidFill>
          <a:ln>
            <a:noFill/>
          </a:ln>
          <a:effectLst/>
          <a:sp3d/>
        </c:spPr>
      </c:pivotFmt>
      <c:pivotFmt>
        <c:idx val="224"/>
        <c:spPr>
          <a:solidFill>
            <a:schemeClr val="accent1"/>
          </a:solidFill>
          <a:ln>
            <a:noFill/>
          </a:ln>
          <a:effectLst/>
          <a:sp3d/>
        </c:spPr>
      </c:pivotFmt>
      <c:pivotFmt>
        <c:idx val="2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a:sp3d/>
        </c:spPr>
      </c:pivotFmt>
      <c:pivotFmt>
        <c:idx val="227"/>
        <c:spPr>
          <a:solidFill>
            <a:schemeClr val="accent1"/>
          </a:solidFill>
          <a:ln>
            <a:noFill/>
          </a:ln>
          <a:effectLst/>
          <a:sp3d/>
        </c:spPr>
      </c:pivotFmt>
      <c:pivotFmt>
        <c:idx val="228"/>
        <c:spPr>
          <a:solidFill>
            <a:schemeClr val="accent1"/>
          </a:solidFill>
          <a:ln>
            <a:noFill/>
          </a:ln>
          <a:effectLst/>
          <a:sp3d/>
        </c:spPr>
      </c:pivotFmt>
      <c:pivotFmt>
        <c:idx val="229"/>
        <c:spPr>
          <a:solidFill>
            <a:schemeClr val="accent1"/>
          </a:solidFill>
          <a:ln>
            <a:noFill/>
          </a:ln>
          <a:effectLst/>
          <a:sp3d/>
        </c:spPr>
      </c:pivotFmt>
      <c:pivotFmt>
        <c:idx val="230"/>
        <c:spPr>
          <a:solidFill>
            <a:schemeClr val="accent1"/>
          </a:solidFill>
          <a:ln>
            <a:noFill/>
          </a:ln>
          <a:effectLst/>
          <a:sp3d/>
        </c:spPr>
      </c:pivotFmt>
      <c:pivotFmt>
        <c:idx val="231"/>
        <c:spPr>
          <a:solidFill>
            <a:schemeClr val="accent1"/>
          </a:solidFill>
          <a:ln>
            <a:noFill/>
          </a:ln>
          <a:effectLst/>
          <a:sp3d/>
        </c:spPr>
      </c:pivotFmt>
      <c:pivotFmt>
        <c:idx val="232"/>
        <c:spPr>
          <a:solidFill>
            <a:schemeClr val="accent1"/>
          </a:solidFill>
          <a:ln>
            <a:noFill/>
          </a:ln>
          <a:effectLst/>
          <a:sp3d/>
        </c:spPr>
      </c:pivotFmt>
      <c:pivotFmt>
        <c:idx val="233"/>
        <c:spPr>
          <a:solidFill>
            <a:schemeClr val="accent1"/>
          </a:solidFill>
          <a:ln>
            <a:noFill/>
          </a:ln>
          <a:effectLst/>
          <a:sp3d/>
        </c:spPr>
      </c:pivotFmt>
      <c:pivotFmt>
        <c:idx val="234"/>
        <c:spPr>
          <a:solidFill>
            <a:schemeClr val="accent1"/>
          </a:solidFill>
          <a:ln>
            <a:noFill/>
          </a:ln>
          <a:effectLst/>
          <a:sp3d/>
        </c:spPr>
      </c:pivotFmt>
      <c:pivotFmt>
        <c:idx val="235"/>
        <c:spPr>
          <a:solidFill>
            <a:schemeClr val="accent1"/>
          </a:solidFill>
          <a:ln>
            <a:noFill/>
          </a:ln>
          <a:effectLst/>
          <a:sp3d/>
        </c:spPr>
      </c:pivotFmt>
      <c:pivotFmt>
        <c:idx val="236"/>
        <c:spPr>
          <a:solidFill>
            <a:schemeClr val="accent1"/>
          </a:solidFill>
          <a:ln>
            <a:noFill/>
          </a:ln>
          <a:effectLst/>
          <a:sp3d/>
        </c:spPr>
      </c:pivotFmt>
      <c:pivotFmt>
        <c:idx val="237"/>
        <c:spPr>
          <a:solidFill>
            <a:schemeClr val="accent1"/>
          </a:solidFill>
          <a:ln>
            <a:noFill/>
          </a:ln>
          <a:effectLst/>
          <a:sp3d/>
        </c:spPr>
      </c:pivotFmt>
      <c:pivotFmt>
        <c:idx val="238"/>
        <c:spPr>
          <a:solidFill>
            <a:schemeClr val="accent1"/>
          </a:solidFill>
          <a:ln>
            <a:noFill/>
          </a:ln>
          <a:effectLst/>
          <a:sp3d/>
        </c:spPr>
      </c:pivotFmt>
      <c:pivotFmt>
        <c:idx val="2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a:sp3d/>
        </c:spPr>
      </c:pivotFmt>
      <c:pivotFmt>
        <c:idx val="241"/>
        <c:spPr>
          <a:solidFill>
            <a:schemeClr val="accent1"/>
          </a:solidFill>
          <a:ln>
            <a:noFill/>
          </a:ln>
          <a:effectLst/>
          <a:sp3d/>
        </c:spPr>
      </c:pivotFmt>
      <c:pivotFmt>
        <c:idx val="242"/>
        <c:spPr>
          <a:solidFill>
            <a:schemeClr val="accent1"/>
          </a:solidFill>
          <a:ln>
            <a:noFill/>
          </a:ln>
          <a:effectLst/>
          <a:sp3d/>
        </c:spPr>
      </c:pivotFmt>
      <c:pivotFmt>
        <c:idx val="243"/>
        <c:spPr>
          <a:solidFill>
            <a:schemeClr val="accent1"/>
          </a:solidFill>
          <a:ln>
            <a:noFill/>
          </a:ln>
          <a:effectLst/>
          <a:sp3d/>
        </c:spPr>
      </c:pivotFmt>
      <c:pivotFmt>
        <c:idx val="244"/>
        <c:spPr>
          <a:solidFill>
            <a:schemeClr val="accent1"/>
          </a:solidFill>
          <a:ln>
            <a:noFill/>
          </a:ln>
          <a:effectLst/>
          <a:sp3d/>
        </c:spPr>
      </c:pivotFmt>
      <c:pivotFmt>
        <c:idx val="245"/>
        <c:spPr>
          <a:solidFill>
            <a:schemeClr val="accent1"/>
          </a:solidFill>
          <a:ln>
            <a:noFill/>
          </a:ln>
          <a:effectLst/>
          <a:sp3d/>
        </c:spPr>
      </c:pivotFmt>
      <c:pivotFmt>
        <c:idx val="246"/>
        <c:spPr>
          <a:solidFill>
            <a:schemeClr val="accent1"/>
          </a:solidFill>
          <a:ln>
            <a:noFill/>
          </a:ln>
          <a:effectLst/>
          <a:sp3d/>
        </c:spPr>
      </c:pivotFmt>
      <c:pivotFmt>
        <c:idx val="247"/>
        <c:spPr>
          <a:solidFill>
            <a:schemeClr val="accent1"/>
          </a:solidFill>
          <a:ln>
            <a:noFill/>
          </a:ln>
          <a:effectLst/>
          <a:sp3d/>
        </c:spPr>
      </c:pivotFmt>
      <c:pivotFmt>
        <c:idx val="248"/>
        <c:spPr>
          <a:solidFill>
            <a:schemeClr val="accent1"/>
          </a:solidFill>
          <a:ln>
            <a:noFill/>
          </a:ln>
          <a:effectLst/>
          <a:sp3d/>
        </c:spPr>
      </c:pivotFmt>
      <c:pivotFmt>
        <c:idx val="249"/>
        <c:spPr>
          <a:solidFill>
            <a:schemeClr val="accent1"/>
          </a:solidFill>
          <a:ln>
            <a:noFill/>
          </a:ln>
          <a:effectLst/>
          <a:sp3d/>
        </c:spPr>
      </c:pivotFmt>
      <c:pivotFmt>
        <c:idx val="250"/>
        <c:spPr>
          <a:solidFill>
            <a:schemeClr val="accent1"/>
          </a:solidFill>
          <a:ln>
            <a:noFill/>
          </a:ln>
          <a:effectLst/>
          <a:sp3d/>
        </c:spPr>
      </c:pivotFmt>
      <c:pivotFmt>
        <c:idx val="251"/>
        <c:spPr>
          <a:solidFill>
            <a:schemeClr val="accent1"/>
          </a:solidFill>
          <a:ln>
            <a:noFill/>
          </a:ln>
          <a:effectLst/>
          <a:sp3d/>
        </c:spPr>
      </c:pivotFmt>
      <c:pivotFmt>
        <c:idx val="252"/>
        <c:spPr>
          <a:solidFill>
            <a:schemeClr val="accent1"/>
          </a:solidFill>
          <a:ln>
            <a:noFill/>
          </a:ln>
          <a:effectLst/>
          <a:sp3d/>
        </c:spPr>
      </c:pivotFmt>
      <c:pivotFmt>
        <c:idx val="2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a:sp3d/>
        </c:spPr>
      </c:pivotFmt>
      <c:pivotFmt>
        <c:idx val="255"/>
        <c:spPr>
          <a:solidFill>
            <a:schemeClr val="accent1"/>
          </a:solidFill>
          <a:ln>
            <a:noFill/>
          </a:ln>
          <a:effectLst/>
          <a:sp3d/>
        </c:spPr>
      </c:pivotFmt>
      <c:pivotFmt>
        <c:idx val="256"/>
        <c:spPr>
          <a:solidFill>
            <a:schemeClr val="accent1"/>
          </a:solidFill>
          <a:ln>
            <a:noFill/>
          </a:ln>
          <a:effectLst/>
          <a:sp3d/>
        </c:spPr>
      </c:pivotFmt>
      <c:pivotFmt>
        <c:idx val="257"/>
        <c:spPr>
          <a:solidFill>
            <a:schemeClr val="accent1"/>
          </a:solidFill>
          <a:ln>
            <a:noFill/>
          </a:ln>
          <a:effectLst/>
          <a:sp3d/>
        </c:spPr>
      </c:pivotFmt>
      <c:pivotFmt>
        <c:idx val="258"/>
        <c:spPr>
          <a:solidFill>
            <a:schemeClr val="accent1"/>
          </a:solidFill>
          <a:ln>
            <a:noFill/>
          </a:ln>
          <a:effectLst/>
          <a:sp3d/>
        </c:spPr>
      </c:pivotFmt>
      <c:pivotFmt>
        <c:idx val="259"/>
        <c:spPr>
          <a:solidFill>
            <a:schemeClr val="accent1"/>
          </a:solidFill>
          <a:ln>
            <a:noFill/>
          </a:ln>
          <a:effectLst/>
          <a:sp3d/>
        </c:spPr>
      </c:pivotFmt>
      <c:pivotFmt>
        <c:idx val="260"/>
        <c:spPr>
          <a:solidFill>
            <a:schemeClr val="accent1"/>
          </a:solidFill>
          <a:ln>
            <a:noFill/>
          </a:ln>
          <a:effectLst/>
          <a:sp3d/>
        </c:spPr>
      </c:pivotFmt>
      <c:pivotFmt>
        <c:idx val="261"/>
        <c:spPr>
          <a:solidFill>
            <a:schemeClr val="accent1"/>
          </a:solidFill>
          <a:ln>
            <a:noFill/>
          </a:ln>
          <a:effectLst/>
          <a:sp3d/>
        </c:spPr>
      </c:pivotFmt>
      <c:pivotFmt>
        <c:idx val="262"/>
        <c:spPr>
          <a:solidFill>
            <a:schemeClr val="accent1"/>
          </a:solidFill>
          <a:ln>
            <a:noFill/>
          </a:ln>
          <a:effectLst/>
          <a:sp3d/>
        </c:spPr>
      </c:pivotFmt>
      <c:pivotFmt>
        <c:idx val="263"/>
        <c:spPr>
          <a:solidFill>
            <a:schemeClr val="accent1"/>
          </a:solidFill>
          <a:ln>
            <a:noFill/>
          </a:ln>
          <a:effectLst/>
          <a:sp3d/>
        </c:spPr>
      </c:pivotFmt>
      <c:pivotFmt>
        <c:idx val="264"/>
        <c:spPr>
          <a:solidFill>
            <a:schemeClr val="accent1"/>
          </a:solidFill>
          <a:ln>
            <a:noFill/>
          </a:ln>
          <a:effectLst/>
          <a:sp3d/>
        </c:spPr>
      </c:pivotFmt>
      <c:pivotFmt>
        <c:idx val="265"/>
        <c:spPr>
          <a:solidFill>
            <a:schemeClr val="accent1"/>
          </a:solidFill>
          <a:ln>
            <a:noFill/>
          </a:ln>
          <a:effectLst/>
          <a:sp3d/>
        </c:spPr>
      </c:pivotFmt>
      <c:pivotFmt>
        <c:idx val="266"/>
        <c:spPr>
          <a:solidFill>
            <a:schemeClr val="accent1"/>
          </a:solidFill>
          <a:ln>
            <a:noFill/>
          </a:ln>
          <a:effectLst/>
          <a:sp3d/>
        </c:spPr>
      </c:pivotFmt>
      <c:pivotFmt>
        <c:idx val="2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a:sp3d/>
        </c:spPr>
      </c:pivotFmt>
      <c:pivotFmt>
        <c:idx val="269"/>
        <c:spPr>
          <a:solidFill>
            <a:schemeClr val="accent1"/>
          </a:solidFill>
          <a:ln>
            <a:noFill/>
          </a:ln>
          <a:effectLst/>
          <a:sp3d/>
        </c:spPr>
      </c:pivotFmt>
      <c:pivotFmt>
        <c:idx val="270"/>
        <c:spPr>
          <a:solidFill>
            <a:schemeClr val="accent1"/>
          </a:solidFill>
          <a:ln>
            <a:noFill/>
          </a:ln>
          <a:effectLst/>
          <a:sp3d/>
        </c:spPr>
      </c:pivotFmt>
      <c:pivotFmt>
        <c:idx val="271"/>
        <c:spPr>
          <a:solidFill>
            <a:schemeClr val="accent1"/>
          </a:solidFill>
          <a:ln>
            <a:noFill/>
          </a:ln>
          <a:effectLst/>
          <a:sp3d/>
        </c:spPr>
      </c:pivotFmt>
      <c:pivotFmt>
        <c:idx val="272"/>
        <c:spPr>
          <a:solidFill>
            <a:schemeClr val="accent1"/>
          </a:solidFill>
          <a:ln>
            <a:noFill/>
          </a:ln>
          <a:effectLst/>
          <a:sp3d/>
        </c:spPr>
      </c:pivotFmt>
      <c:pivotFmt>
        <c:idx val="273"/>
        <c:spPr>
          <a:solidFill>
            <a:schemeClr val="accent1"/>
          </a:solidFill>
          <a:ln>
            <a:noFill/>
          </a:ln>
          <a:effectLst/>
          <a:sp3d/>
        </c:spPr>
      </c:pivotFmt>
      <c:pivotFmt>
        <c:idx val="274"/>
        <c:spPr>
          <a:solidFill>
            <a:schemeClr val="accent1"/>
          </a:solidFill>
          <a:ln>
            <a:noFill/>
          </a:ln>
          <a:effectLst/>
          <a:sp3d/>
        </c:spPr>
      </c:pivotFmt>
      <c:pivotFmt>
        <c:idx val="275"/>
        <c:spPr>
          <a:solidFill>
            <a:schemeClr val="accent1"/>
          </a:solidFill>
          <a:ln>
            <a:noFill/>
          </a:ln>
          <a:effectLst/>
          <a:sp3d/>
        </c:spPr>
      </c:pivotFmt>
      <c:pivotFmt>
        <c:idx val="276"/>
        <c:spPr>
          <a:solidFill>
            <a:schemeClr val="accent1"/>
          </a:solidFill>
          <a:ln>
            <a:noFill/>
          </a:ln>
          <a:effectLst/>
          <a:sp3d/>
        </c:spPr>
      </c:pivotFmt>
      <c:pivotFmt>
        <c:idx val="277"/>
        <c:spPr>
          <a:solidFill>
            <a:schemeClr val="accent1"/>
          </a:solidFill>
          <a:ln>
            <a:noFill/>
          </a:ln>
          <a:effectLst/>
          <a:sp3d/>
        </c:spPr>
      </c:pivotFmt>
      <c:pivotFmt>
        <c:idx val="278"/>
        <c:spPr>
          <a:solidFill>
            <a:schemeClr val="accent1"/>
          </a:solidFill>
          <a:ln>
            <a:noFill/>
          </a:ln>
          <a:effectLst/>
          <a:sp3d/>
        </c:spPr>
      </c:pivotFmt>
      <c:pivotFmt>
        <c:idx val="279"/>
        <c:spPr>
          <a:solidFill>
            <a:schemeClr val="accent1"/>
          </a:solidFill>
          <a:ln>
            <a:noFill/>
          </a:ln>
          <a:effectLst/>
          <a:sp3d/>
        </c:spPr>
      </c:pivotFmt>
      <c:pivotFmt>
        <c:idx val="280"/>
        <c:spPr>
          <a:solidFill>
            <a:schemeClr val="accent1"/>
          </a:solidFill>
          <a:ln>
            <a:noFill/>
          </a:ln>
          <a:effectLst/>
          <a:sp3d/>
        </c:spPr>
      </c:pivotFmt>
      <c:pivotFmt>
        <c:idx val="2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a:sp3d/>
        </c:spPr>
      </c:pivotFmt>
      <c:pivotFmt>
        <c:idx val="283"/>
        <c:spPr>
          <a:solidFill>
            <a:schemeClr val="accent1"/>
          </a:solidFill>
          <a:ln>
            <a:noFill/>
          </a:ln>
          <a:effectLst/>
          <a:sp3d/>
        </c:spPr>
      </c:pivotFmt>
      <c:pivotFmt>
        <c:idx val="284"/>
        <c:spPr>
          <a:solidFill>
            <a:schemeClr val="accent1"/>
          </a:solidFill>
          <a:ln>
            <a:noFill/>
          </a:ln>
          <a:effectLst/>
          <a:sp3d/>
        </c:spPr>
      </c:pivotFmt>
      <c:pivotFmt>
        <c:idx val="285"/>
        <c:spPr>
          <a:solidFill>
            <a:schemeClr val="accent1"/>
          </a:solidFill>
          <a:ln>
            <a:noFill/>
          </a:ln>
          <a:effectLst/>
          <a:sp3d/>
        </c:spPr>
      </c:pivotFmt>
      <c:pivotFmt>
        <c:idx val="286"/>
        <c:spPr>
          <a:solidFill>
            <a:schemeClr val="accent1"/>
          </a:solidFill>
          <a:ln>
            <a:noFill/>
          </a:ln>
          <a:effectLst/>
          <a:sp3d/>
        </c:spPr>
      </c:pivotFmt>
      <c:pivotFmt>
        <c:idx val="287"/>
        <c:spPr>
          <a:solidFill>
            <a:schemeClr val="accent1"/>
          </a:solidFill>
          <a:ln>
            <a:noFill/>
          </a:ln>
          <a:effectLst/>
          <a:sp3d/>
        </c:spPr>
      </c:pivotFmt>
      <c:pivotFmt>
        <c:idx val="288"/>
        <c:spPr>
          <a:solidFill>
            <a:schemeClr val="accent1"/>
          </a:solidFill>
          <a:ln>
            <a:noFill/>
          </a:ln>
          <a:effectLst/>
          <a:sp3d/>
        </c:spPr>
      </c:pivotFmt>
      <c:pivotFmt>
        <c:idx val="289"/>
        <c:spPr>
          <a:solidFill>
            <a:schemeClr val="accent1"/>
          </a:solidFill>
          <a:ln>
            <a:noFill/>
          </a:ln>
          <a:effectLst/>
          <a:sp3d/>
        </c:spPr>
      </c:pivotFmt>
      <c:pivotFmt>
        <c:idx val="290"/>
        <c:spPr>
          <a:solidFill>
            <a:schemeClr val="accent1"/>
          </a:solidFill>
          <a:ln>
            <a:noFill/>
          </a:ln>
          <a:effectLst/>
          <a:sp3d/>
        </c:spPr>
      </c:pivotFmt>
      <c:pivotFmt>
        <c:idx val="291"/>
        <c:spPr>
          <a:solidFill>
            <a:schemeClr val="accent1"/>
          </a:solidFill>
          <a:ln>
            <a:noFill/>
          </a:ln>
          <a:effectLst/>
          <a:sp3d/>
        </c:spPr>
      </c:pivotFmt>
      <c:pivotFmt>
        <c:idx val="292"/>
        <c:spPr>
          <a:solidFill>
            <a:schemeClr val="accent1"/>
          </a:solidFill>
          <a:ln>
            <a:noFill/>
          </a:ln>
          <a:effectLst/>
          <a:sp3d/>
        </c:spPr>
      </c:pivotFmt>
      <c:pivotFmt>
        <c:idx val="293"/>
        <c:spPr>
          <a:solidFill>
            <a:schemeClr val="accent1"/>
          </a:solidFill>
          <a:ln>
            <a:noFill/>
          </a:ln>
          <a:effectLst/>
          <a:sp3d/>
        </c:spPr>
      </c:pivotFmt>
      <c:pivotFmt>
        <c:idx val="294"/>
        <c:spPr>
          <a:solidFill>
            <a:schemeClr val="accent1"/>
          </a:solidFill>
          <a:ln>
            <a:noFill/>
          </a:ln>
          <a:effectLst/>
          <a:sp3d/>
        </c:spPr>
      </c:pivotFmt>
      <c:pivotFmt>
        <c:idx val="2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a:sp3d/>
        </c:spPr>
      </c:pivotFmt>
      <c:pivotFmt>
        <c:idx val="297"/>
        <c:spPr>
          <a:solidFill>
            <a:schemeClr val="accent1"/>
          </a:solidFill>
          <a:ln>
            <a:noFill/>
          </a:ln>
          <a:effectLst/>
          <a:sp3d/>
        </c:spPr>
      </c:pivotFmt>
      <c:pivotFmt>
        <c:idx val="298"/>
        <c:spPr>
          <a:solidFill>
            <a:schemeClr val="accent1"/>
          </a:solidFill>
          <a:ln>
            <a:noFill/>
          </a:ln>
          <a:effectLst/>
          <a:sp3d/>
        </c:spPr>
      </c:pivotFmt>
      <c:pivotFmt>
        <c:idx val="299"/>
        <c:spPr>
          <a:solidFill>
            <a:schemeClr val="accent1"/>
          </a:solidFill>
          <a:ln>
            <a:noFill/>
          </a:ln>
          <a:effectLst/>
          <a:sp3d/>
        </c:spPr>
      </c:pivotFmt>
      <c:pivotFmt>
        <c:idx val="300"/>
        <c:spPr>
          <a:solidFill>
            <a:schemeClr val="accent1"/>
          </a:solidFill>
          <a:ln>
            <a:noFill/>
          </a:ln>
          <a:effectLst/>
          <a:sp3d/>
        </c:spPr>
      </c:pivotFmt>
      <c:pivotFmt>
        <c:idx val="301"/>
        <c:spPr>
          <a:solidFill>
            <a:schemeClr val="accent1"/>
          </a:solidFill>
          <a:ln>
            <a:noFill/>
          </a:ln>
          <a:effectLst/>
          <a:sp3d/>
        </c:spPr>
      </c:pivotFmt>
      <c:pivotFmt>
        <c:idx val="302"/>
        <c:spPr>
          <a:solidFill>
            <a:schemeClr val="accent1"/>
          </a:solidFill>
          <a:ln>
            <a:noFill/>
          </a:ln>
          <a:effectLst/>
          <a:sp3d/>
        </c:spPr>
      </c:pivotFmt>
      <c:pivotFmt>
        <c:idx val="303"/>
        <c:spPr>
          <a:solidFill>
            <a:schemeClr val="accent1"/>
          </a:solidFill>
          <a:ln>
            <a:noFill/>
          </a:ln>
          <a:effectLst/>
          <a:sp3d/>
        </c:spPr>
      </c:pivotFmt>
      <c:pivotFmt>
        <c:idx val="304"/>
        <c:spPr>
          <a:solidFill>
            <a:schemeClr val="accent1"/>
          </a:solidFill>
          <a:ln>
            <a:noFill/>
          </a:ln>
          <a:effectLst/>
          <a:sp3d/>
        </c:spPr>
      </c:pivotFmt>
      <c:pivotFmt>
        <c:idx val="305"/>
        <c:spPr>
          <a:solidFill>
            <a:schemeClr val="accent1"/>
          </a:solidFill>
          <a:ln>
            <a:noFill/>
          </a:ln>
          <a:effectLst/>
          <a:sp3d/>
        </c:spPr>
      </c:pivotFmt>
      <c:pivotFmt>
        <c:idx val="306"/>
        <c:spPr>
          <a:solidFill>
            <a:schemeClr val="accent1"/>
          </a:solidFill>
          <a:ln>
            <a:noFill/>
          </a:ln>
          <a:effectLst/>
          <a:sp3d/>
        </c:spPr>
      </c:pivotFmt>
      <c:pivotFmt>
        <c:idx val="307"/>
        <c:spPr>
          <a:solidFill>
            <a:schemeClr val="accent1"/>
          </a:solidFill>
          <a:ln>
            <a:noFill/>
          </a:ln>
          <a:effectLst/>
          <a:sp3d/>
        </c:spPr>
      </c:pivotFmt>
      <c:pivotFmt>
        <c:idx val="308"/>
        <c:spPr>
          <a:solidFill>
            <a:schemeClr val="accent1"/>
          </a:solidFill>
          <a:ln>
            <a:noFill/>
          </a:ln>
          <a:effectLst/>
          <a:sp3d/>
        </c:spPr>
      </c:pivotFmt>
      <c:pivotFmt>
        <c:idx val="30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a:sp3d/>
        </c:spPr>
      </c:pivotFmt>
      <c:pivotFmt>
        <c:idx val="311"/>
        <c:spPr>
          <a:solidFill>
            <a:schemeClr val="accent1"/>
          </a:solidFill>
          <a:ln>
            <a:noFill/>
          </a:ln>
          <a:effectLst/>
          <a:sp3d/>
        </c:spPr>
      </c:pivotFmt>
      <c:pivotFmt>
        <c:idx val="312"/>
        <c:spPr>
          <a:solidFill>
            <a:schemeClr val="accent1"/>
          </a:solidFill>
          <a:ln>
            <a:noFill/>
          </a:ln>
          <a:effectLst/>
          <a:sp3d/>
        </c:spPr>
      </c:pivotFmt>
      <c:pivotFmt>
        <c:idx val="313"/>
        <c:spPr>
          <a:solidFill>
            <a:schemeClr val="accent1"/>
          </a:solidFill>
          <a:ln>
            <a:noFill/>
          </a:ln>
          <a:effectLst/>
          <a:sp3d/>
        </c:spPr>
      </c:pivotFmt>
      <c:pivotFmt>
        <c:idx val="314"/>
        <c:spPr>
          <a:solidFill>
            <a:schemeClr val="accent1"/>
          </a:solidFill>
          <a:ln>
            <a:noFill/>
          </a:ln>
          <a:effectLst/>
          <a:sp3d/>
        </c:spPr>
      </c:pivotFmt>
      <c:pivotFmt>
        <c:idx val="315"/>
        <c:spPr>
          <a:solidFill>
            <a:schemeClr val="accent1"/>
          </a:solidFill>
          <a:ln>
            <a:noFill/>
          </a:ln>
          <a:effectLst/>
          <a:sp3d/>
        </c:spPr>
      </c:pivotFmt>
      <c:pivotFmt>
        <c:idx val="316"/>
        <c:spPr>
          <a:solidFill>
            <a:schemeClr val="accent1"/>
          </a:solidFill>
          <a:ln>
            <a:noFill/>
          </a:ln>
          <a:effectLst/>
          <a:sp3d/>
        </c:spPr>
      </c:pivotFmt>
      <c:pivotFmt>
        <c:idx val="317"/>
        <c:spPr>
          <a:solidFill>
            <a:schemeClr val="accent1"/>
          </a:solidFill>
          <a:ln>
            <a:noFill/>
          </a:ln>
          <a:effectLst/>
          <a:sp3d/>
        </c:spPr>
      </c:pivotFmt>
      <c:pivotFmt>
        <c:idx val="318"/>
        <c:spPr>
          <a:solidFill>
            <a:schemeClr val="accent1"/>
          </a:solidFill>
          <a:ln>
            <a:noFill/>
          </a:ln>
          <a:effectLst/>
          <a:sp3d/>
        </c:spPr>
      </c:pivotFmt>
      <c:pivotFmt>
        <c:idx val="319"/>
        <c:spPr>
          <a:solidFill>
            <a:schemeClr val="accent1"/>
          </a:solidFill>
          <a:ln>
            <a:noFill/>
          </a:ln>
          <a:effectLst/>
          <a:sp3d/>
        </c:spPr>
      </c:pivotFmt>
      <c:pivotFmt>
        <c:idx val="320"/>
        <c:spPr>
          <a:solidFill>
            <a:schemeClr val="accent1"/>
          </a:solidFill>
          <a:ln>
            <a:noFill/>
          </a:ln>
          <a:effectLst/>
          <a:sp3d/>
        </c:spPr>
      </c:pivotFmt>
      <c:pivotFmt>
        <c:idx val="321"/>
        <c:spPr>
          <a:solidFill>
            <a:schemeClr val="accent1"/>
          </a:solidFill>
          <a:ln>
            <a:noFill/>
          </a:ln>
          <a:effectLst/>
          <a:sp3d/>
        </c:spPr>
      </c:pivotFmt>
      <c:pivotFmt>
        <c:idx val="322"/>
        <c:spPr>
          <a:solidFill>
            <a:schemeClr val="accent1"/>
          </a:solidFill>
          <a:ln>
            <a:noFill/>
          </a:ln>
          <a:effectLst/>
          <a:sp3d/>
        </c:spPr>
      </c:pivotFmt>
      <c:pivotFmt>
        <c:idx val="3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a:sp3d/>
        </c:spPr>
      </c:pivotFmt>
      <c:pivotFmt>
        <c:idx val="325"/>
        <c:spPr>
          <a:solidFill>
            <a:schemeClr val="accent1"/>
          </a:solidFill>
          <a:ln>
            <a:noFill/>
          </a:ln>
          <a:effectLst/>
          <a:sp3d/>
        </c:spPr>
      </c:pivotFmt>
      <c:pivotFmt>
        <c:idx val="326"/>
        <c:spPr>
          <a:solidFill>
            <a:schemeClr val="accent1"/>
          </a:solidFill>
          <a:ln>
            <a:noFill/>
          </a:ln>
          <a:effectLst/>
          <a:sp3d/>
        </c:spPr>
      </c:pivotFmt>
      <c:pivotFmt>
        <c:idx val="327"/>
        <c:spPr>
          <a:solidFill>
            <a:schemeClr val="accent1"/>
          </a:solidFill>
          <a:ln>
            <a:noFill/>
          </a:ln>
          <a:effectLst/>
          <a:sp3d/>
        </c:spPr>
      </c:pivotFmt>
      <c:pivotFmt>
        <c:idx val="328"/>
        <c:spPr>
          <a:solidFill>
            <a:schemeClr val="accent1"/>
          </a:solidFill>
          <a:ln>
            <a:noFill/>
          </a:ln>
          <a:effectLst/>
          <a:sp3d/>
        </c:spPr>
      </c:pivotFmt>
      <c:pivotFmt>
        <c:idx val="329"/>
        <c:spPr>
          <a:solidFill>
            <a:schemeClr val="accent1"/>
          </a:solidFill>
          <a:ln>
            <a:noFill/>
          </a:ln>
          <a:effectLst/>
          <a:sp3d/>
        </c:spPr>
      </c:pivotFmt>
      <c:pivotFmt>
        <c:idx val="330"/>
        <c:spPr>
          <a:solidFill>
            <a:schemeClr val="accent1"/>
          </a:solidFill>
          <a:ln>
            <a:noFill/>
          </a:ln>
          <a:effectLst/>
          <a:sp3d/>
        </c:spPr>
      </c:pivotFmt>
      <c:pivotFmt>
        <c:idx val="331"/>
        <c:spPr>
          <a:solidFill>
            <a:schemeClr val="accent1"/>
          </a:solidFill>
          <a:ln>
            <a:noFill/>
          </a:ln>
          <a:effectLst/>
          <a:sp3d/>
        </c:spPr>
      </c:pivotFmt>
      <c:pivotFmt>
        <c:idx val="332"/>
        <c:spPr>
          <a:solidFill>
            <a:schemeClr val="accent1"/>
          </a:solidFill>
          <a:ln>
            <a:noFill/>
          </a:ln>
          <a:effectLst/>
          <a:sp3d/>
        </c:spPr>
      </c:pivotFmt>
      <c:pivotFmt>
        <c:idx val="333"/>
        <c:spPr>
          <a:solidFill>
            <a:schemeClr val="accent1"/>
          </a:solidFill>
          <a:ln>
            <a:noFill/>
          </a:ln>
          <a:effectLst/>
          <a:sp3d/>
        </c:spPr>
      </c:pivotFmt>
      <c:pivotFmt>
        <c:idx val="334"/>
        <c:spPr>
          <a:solidFill>
            <a:schemeClr val="accent1"/>
          </a:solidFill>
          <a:ln>
            <a:noFill/>
          </a:ln>
          <a:effectLst/>
          <a:sp3d/>
        </c:spPr>
      </c:pivotFmt>
      <c:pivotFmt>
        <c:idx val="335"/>
        <c:spPr>
          <a:solidFill>
            <a:schemeClr val="accent1"/>
          </a:solidFill>
          <a:ln>
            <a:noFill/>
          </a:ln>
          <a:effectLst/>
          <a:sp3d/>
        </c:spPr>
      </c:pivotFmt>
      <c:pivotFmt>
        <c:idx val="336"/>
        <c:spPr>
          <a:solidFill>
            <a:schemeClr val="accent1"/>
          </a:solidFill>
          <a:ln>
            <a:noFill/>
          </a:ln>
          <a:effectLst/>
          <a:sp3d/>
        </c:spPr>
      </c:pivotFmt>
      <c:pivotFmt>
        <c:idx val="3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a:sp3d/>
        </c:spPr>
      </c:pivotFmt>
      <c:pivotFmt>
        <c:idx val="339"/>
        <c:spPr>
          <a:solidFill>
            <a:schemeClr val="accent1"/>
          </a:solidFill>
          <a:ln>
            <a:noFill/>
          </a:ln>
          <a:effectLst/>
          <a:sp3d/>
        </c:spPr>
      </c:pivotFmt>
      <c:pivotFmt>
        <c:idx val="340"/>
        <c:spPr>
          <a:solidFill>
            <a:schemeClr val="accent1"/>
          </a:solidFill>
          <a:ln>
            <a:noFill/>
          </a:ln>
          <a:effectLst/>
          <a:sp3d/>
        </c:spPr>
      </c:pivotFmt>
      <c:pivotFmt>
        <c:idx val="341"/>
        <c:spPr>
          <a:solidFill>
            <a:schemeClr val="accent1"/>
          </a:solidFill>
          <a:ln>
            <a:noFill/>
          </a:ln>
          <a:effectLst/>
          <a:sp3d/>
        </c:spPr>
      </c:pivotFmt>
      <c:pivotFmt>
        <c:idx val="342"/>
        <c:spPr>
          <a:solidFill>
            <a:schemeClr val="accent1"/>
          </a:solidFill>
          <a:ln>
            <a:noFill/>
          </a:ln>
          <a:effectLst/>
          <a:sp3d/>
        </c:spPr>
      </c:pivotFmt>
      <c:pivotFmt>
        <c:idx val="343"/>
        <c:spPr>
          <a:solidFill>
            <a:schemeClr val="accent1"/>
          </a:solidFill>
          <a:ln>
            <a:noFill/>
          </a:ln>
          <a:effectLst/>
          <a:sp3d/>
        </c:spPr>
      </c:pivotFmt>
      <c:pivotFmt>
        <c:idx val="344"/>
        <c:spPr>
          <a:solidFill>
            <a:schemeClr val="accent1"/>
          </a:solidFill>
          <a:ln>
            <a:noFill/>
          </a:ln>
          <a:effectLst/>
          <a:sp3d/>
        </c:spPr>
      </c:pivotFmt>
      <c:pivotFmt>
        <c:idx val="345"/>
        <c:spPr>
          <a:solidFill>
            <a:schemeClr val="accent1"/>
          </a:solidFill>
          <a:ln>
            <a:noFill/>
          </a:ln>
          <a:effectLst/>
          <a:sp3d/>
        </c:spPr>
      </c:pivotFmt>
      <c:pivotFmt>
        <c:idx val="346"/>
        <c:spPr>
          <a:solidFill>
            <a:schemeClr val="accent1"/>
          </a:solidFill>
          <a:ln>
            <a:noFill/>
          </a:ln>
          <a:effectLst/>
          <a:sp3d/>
        </c:spPr>
      </c:pivotFmt>
      <c:pivotFmt>
        <c:idx val="347"/>
        <c:spPr>
          <a:solidFill>
            <a:schemeClr val="accent1"/>
          </a:solidFill>
          <a:ln>
            <a:noFill/>
          </a:ln>
          <a:effectLst/>
          <a:sp3d/>
        </c:spPr>
      </c:pivotFmt>
      <c:pivotFmt>
        <c:idx val="348"/>
        <c:spPr>
          <a:solidFill>
            <a:schemeClr val="accent1"/>
          </a:solidFill>
          <a:ln>
            <a:noFill/>
          </a:ln>
          <a:effectLst/>
          <a:sp3d/>
        </c:spPr>
      </c:pivotFmt>
      <c:pivotFmt>
        <c:idx val="349"/>
        <c:spPr>
          <a:solidFill>
            <a:schemeClr val="accent1"/>
          </a:solidFill>
          <a:ln>
            <a:noFill/>
          </a:ln>
          <a:effectLst/>
          <a:sp3d/>
        </c:spPr>
      </c:pivotFmt>
      <c:pivotFmt>
        <c:idx val="350"/>
        <c:spPr>
          <a:solidFill>
            <a:schemeClr val="accent1"/>
          </a:solidFill>
          <a:ln>
            <a:noFill/>
          </a:ln>
          <a:effectLst/>
          <a:sp3d/>
        </c:spPr>
      </c:pivotFmt>
      <c:pivotFmt>
        <c:idx val="3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a:sp3d/>
        </c:spPr>
      </c:pivotFmt>
      <c:pivotFmt>
        <c:idx val="353"/>
        <c:spPr>
          <a:solidFill>
            <a:schemeClr val="accent1"/>
          </a:solidFill>
          <a:ln>
            <a:noFill/>
          </a:ln>
          <a:effectLst/>
          <a:sp3d/>
        </c:spPr>
      </c:pivotFmt>
      <c:pivotFmt>
        <c:idx val="354"/>
        <c:spPr>
          <a:solidFill>
            <a:schemeClr val="accent1"/>
          </a:solidFill>
          <a:ln>
            <a:noFill/>
          </a:ln>
          <a:effectLst/>
          <a:sp3d/>
        </c:spPr>
      </c:pivotFmt>
      <c:pivotFmt>
        <c:idx val="355"/>
        <c:spPr>
          <a:solidFill>
            <a:schemeClr val="accent1"/>
          </a:solidFill>
          <a:ln>
            <a:noFill/>
          </a:ln>
          <a:effectLst/>
          <a:sp3d/>
        </c:spPr>
      </c:pivotFmt>
      <c:pivotFmt>
        <c:idx val="356"/>
        <c:spPr>
          <a:solidFill>
            <a:schemeClr val="accent1"/>
          </a:solidFill>
          <a:ln>
            <a:noFill/>
          </a:ln>
          <a:effectLst/>
          <a:sp3d/>
        </c:spPr>
      </c:pivotFmt>
      <c:pivotFmt>
        <c:idx val="357"/>
        <c:spPr>
          <a:solidFill>
            <a:schemeClr val="accent1"/>
          </a:solidFill>
          <a:ln>
            <a:noFill/>
          </a:ln>
          <a:effectLst/>
          <a:sp3d/>
        </c:spPr>
      </c:pivotFmt>
      <c:pivotFmt>
        <c:idx val="358"/>
        <c:spPr>
          <a:solidFill>
            <a:schemeClr val="accent1"/>
          </a:solidFill>
          <a:ln>
            <a:noFill/>
          </a:ln>
          <a:effectLst/>
          <a:sp3d/>
        </c:spPr>
      </c:pivotFmt>
      <c:pivotFmt>
        <c:idx val="359"/>
        <c:spPr>
          <a:solidFill>
            <a:schemeClr val="accent1"/>
          </a:solidFill>
          <a:ln>
            <a:noFill/>
          </a:ln>
          <a:effectLst/>
          <a:sp3d/>
        </c:spPr>
      </c:pivotFmt>
      <c:pivotFmt>
        <c:idx val="360"/>
        <c:spPr>
          <a:solidFill>
            <a:schemeClr val="accent1"/>
          </a:solidFill>
          <a:ln>
            <a:noFill/>
          </a:ln>
          <a:effectLst/>
          <a:sp3d/>
        </c:spPr>
      </c:pivotFmt>
      <c:pivotFmt>
        <c:idx val="361"/>
        <c:spPr>
          <a:solidFill>
            <a:schemeClr val="accent1"/>
          </a:solidFill>
          <a:ln>
            <a:noFill/>
          </a:ln>
          <a:effectLst/>
          <a:sp3d/>
        </c:spPr>
      </c:pivotFmt>
      <c:pivotFmt>
        <c:idx val="362"/>
        <c:spPr>
          <a:solidFill>
            <a:schemeClr val="accent1"/>
          </a:solidFill>
          <a:ln>
            <a:noFill/>
          </a:ln>
          <a:effectLst/>
          <a:sp3d/>
        </c:spPr>
      </c:pivotFmt>
      <c:pivotFmt>
        <c:idx val="363"/>
        <c:spPr>
          <a:solidFill>
            <a:schemeClr val="accent1"/>
          </a:solidFill>
          <a:ln>
            <a:noFill/>
          </a:ln>
          <a:effectLst/>
          <a:sp3d/>
        </c:spPr>
      </c:pivotFmt>
      <c:pivotFmt>
        <c:idx val="364"/>
        <c:spPr>
          <a:solidFill>
            <a:schemeClr val="accent1"/>
          </a:solidFill>
          <a:ln>
            <a:noFill/>
          </a:ln>
          <a:effectLst/>
          <a:sp3d/>
        </c:spPr>
      </c:pivotFmt>
      <c:pivotFmt>
        <c:idx val="3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a:sp3d/>
        </c:spPr>
      </c:pivotFmt>
      <c:pivotFmt>
        <c:idx val="367"/>
        <c:spPr>
          <a:solidFill>
            <a:schemeClr val="accent1"/>
          </a:solidFill>
          <a:ln>
            <a:noFill/>
          </a:ln>
          <a:effectLst/>
          <a:sp3d/>
        </c:spPr>
      </c:pivotFmt>
      <c:pivotFmt>
        <c:idx val="368"/>
        <c:spPr>
          <a:solidFill>
            <a:schemeClr val="accent1"/>
          </a:solidFill>
          <a:ln>
            <a:noFill/>
          </a:ln>
          <a:effectLst/>
          <a:sp3d/>
        </c:spPr>
      </c:pivotFmt>
      <c:pivotFmt>
        <c:idx val="369"/>
        <c:spPr>
          <a:solidFill>
            <a:schemeClr val="accent1"/>
          </a:solidFill>
          <a:ln>
            <a:noFill/>
          </a:ln>
          <a:effectLst/>
          <a:sp3d/>
        </c:spPr>
      </c:pivotFmt>
      <c:pivotFmt>
        <c:idx val="370"/>
        <c:spPr>
          <a:solidFill>
            <a:schemeClr val="accent1"/>
          </a:solidFill>
          <a:ln>
            <a:noFill/>
          </a:ln>
          <a:effectLst/>
          <a:sp3d/>
        </c:spPr>
      </c:pivotFmt>
      <c:pivotFmt>
        <c:idx val="371"/>
        <c:spPr>
          <a:solidFill>
            <a:schemeClr val="accent1"/>
          </a:solidFill>
          <a:ln>
            <a:noFill/>
          </a:ln>
          <a:effectLst/>
          <a:sp3d/>
        </c:spPr>
      </c:pivotFmt>
      <c:pivotFmt>
        <c:idx val="372"/>
        <c:spPr>
          <a:solidFill>
            <a:schemeClr val="accent1"/>
          </a:solidFill>
          <a:ln>
            <a:noFill/>
          </a:ln>
          <a:effectLst/>
          <a:sp3d/>
        </c:spPr>
      </c:pivotFmt>
      <c:pivotFmt>
        <c:idx val="373"/>
        <c:spPr>
          <a:solidFill>
            <a:schemeClr val="accent1"/>
          </a:solidFill>
          <a:ln>
            <a:noFill/>
          </a:ln>
          <a:effectLst/>
          <a:sp3d/>
        </c:spPr>
      </c:pivotFmt>
      <c:pivotFmt>
        <c:idx val="374"/>
        <c:spPr>
          <a:solidFill>
            <a:schemeClr val="accent1"/>
          </a:solidFill>
          <a:ln>
            <a:noFill/>
          </a:ln>
          <a:effectLst/>
          <a:sp3d/>
        </c:spPr>
      </c:pivotFmt>
      <c:pivotFmt>
        <c:idx val="375"/>
        <c:spPr>
          <a:solidFill>
            <a:schemeClr val="accent1"/>
          </a:solidFill>
          <a:ln>
            <a:noFill/>
          </a:ln>
          <a:effectLst/>
          <a:sp3d/>
        </c:spPr>
      </c:pivotFmt>
      <c:pivotFmt>
        <c:idx val="376"/>
        <c:spPr>
          <a:solidFill>
            <a:schemeClr val="accent1"/>
          </a:solidFill>
          <a:ln>
            <a:noFill/>
          </a:ln>
          <a:effectLst/>
          <a:sp3d/>
        </c:spPr>
      </c:pivotFmt>
      <c:pivotFmt>
        <c:idx val="377"/>
        <c:spPr>
          <a:solidFill>
            <a:schemeClr val="accent1"/>
          </a:solidFill>
          <a:ln>
            <a:noFill/>
          </a:ln>
          <a:effectLst/>
          <a:sp3d/>
        </c:spPr>
      </c:pivotFmt>
      <c:pivotFmt>
        <c:idx val="378"/>
        <c:spPr>
          <a:solidFill>
            <a:schemeClr val="accent1"/>
          </a:solidFill>
          <a:ln>
            <a:noFill/>
          </a:ln>
          <a:effectLst/>
          <a:sp3d/>
        </c:spPr>
      </c:pivotFmt>
      <c:pivotFmt>
        <c:idx val="3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a:sp3d/>
        </c:spPr>
      </c:pivotFmt>
      <c:pivotFmt>
        <c:idx val="381"/>
        <c:spPr>
          <a:solidFill>
            <a:schemeClr val="accent1"/>
          </a:solidFill>
          <a:ln>
            <a:noFill/>
          </a:ln>
          <a:effectLst/>
          <a:sp3d/>
        </c:spPr>
      </c:pivotFmt>
      <c:pivotFmt>
        <c:idx val="382"/>
        <c:spPr>
          <a:solidFill>
            <a:schemeClr val="accent1"/>
          </a:solidFill>
          <a:ln>
            <a:noFill/>
          </a:ln>
          <a:effectLst/>
          <a:sp3d/>
        </c:spPr>
      </c:pivotFmt>
      <c:pivotFmt>
        <c:idx val="383"/>
        <c:spPr>
          <a:solidFill>
            <a:schemeClr val="accent1"/>
          </a:solidFill>
          <a:ln>
            <a:noFill/>
          </a:ln>
          <a:effectLst/>
          <a:sp3d/>
        </c:spPr>
      </c:pivotFmt>
      <c:pivotFmt>
        <c:idx val="384"/>
        <c:spPr>
          <a:solidFill>
            <a:schemeClr val="accent1"/>
          </a:solidFill>
          <a:ln>
            <a:noFill/>
          </a:ln>
          <a:effectLst/>
          <a:sp3d/>
        </c:spPr>
      </c:pivotFmt>
      <c:pivotFmt>
        <c:idx val="385"/>
        <c:spPr>
          <a:solidFill>
            <a:schemeClr val="accent1"/>
          </a:solidFill>
          <a:ln>
            <a:noFill/>
          </a:ln>
          <a:effectLst/>
          <a:sp3d/>
        </c:spPr>
      </c:pivotFmt>
      <c:pivotFmt>
        <c:idx val="386"/>
        <c:spPr>
          <a:solidFill>
            <a:schemeClr val="accent1"/>
          </a:solidFill>
          <a:ln>
            <a:noFill/>
          </a:ln>
          <a:effectLst/>
          <a:sp3d/>
        </c:spPr>
      </c:pivotFmt>
      <c:pivotFmt>
        <c:idx val="387"/>
        <c:spPr>
          <a:solidFill>
            <a:schemeClr val="accent1"/>
          </a:solidFill>
          <a:ln>
            <a:noFill/>
          </a:ln>
          <a:effectLst/>
          <a:sp3d/>
        </c:spPr>
      </c:pivotFmt>
      <c:pivotFmt>
        <c:idx val="388"/>
        <c:spPr>
          <a:solidFill>
            <a:schemeClr val="accent1"/>
          </a:solidFill>
          <a:ln>
            <a:noFill/>
          </a:ln>
          <a:effectLst/>
          <a:sp3d/>
        </c:spPr>
      </c:pivotFmt>
      <c:pivotFmt>
        <c:idx val="389"/>
        <c:spPr>
          <a:solidFill>
            <a:schemeClr val="accent1"/>
          </a:solidFill>
          <a:ln>
            <a:noFill/>
          </a:ln>
          <a:effectLst/>
          <a:sp3d/>
        </c:spPr>
      </c:pivotFmt>
      <c:pivotFmt>
        <c:idx val="390"/>
        <c:spPr>
          <a:solidFill>
            <a:schemeClr val="accent1"/>
          </a:solidFill>
          <a:ln>
            <a:noFill/>
          </a:ln>
          <a:effectLst/>
          <a:sp3d/>
        </c:spPr>
      </c:pivotFmt>
      <c:pivotFmt>
        <c:idx val="391"/>
        <c:spPr>
          <a:solidFill>
            <a:schemeClr val="accent1"/>
          </a:solidFill>
          <a:ln>
            <a:noFill/>
          </a:ln>
          <a:effectLst/>
          <a:sp3d/>
        </c:spPr>
      </c:pivotFmt>
      <c:pivotFmt>
        <c:idx val="392"/>
        <c:spPr>
          <a:solidFill>
            <a:schemeClr val="accent1"/>
          </a:solidFill>
          <a:ln>
            <a:noFill/>
          </a:ln>
          <a:effectLst/>
          <a:sp3d/>
        </c:spPr>
      </c:pivotFmt>
      <c:pivotFmt>
        <c:idx val="3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a:sp3d/>
        </c:spPr>
      </c:pivotFmt>
      <c:pivotFmt>
        <c:idx val="395"/>
        <c:spPr>
          <a:solidFill>
            <a:schemeClr val="accent1"/>
          </a:solidFill>
          <a:ln>
            <a:noFill/>
          </a:ln>
          <a:effectLst/>
          <a:sp3d/>
        </c:spPr>
      </c:pivotFmt>
      <c:pivotFmt>
        <c:idx val="396"/>
        <c:spPr>
          <a:solidFill>
            <a:schemeClr val="accent1"/>
          </a:solidFill>
          <a:ln>
            <a:noFill/>
          </a:ln>
          <a:effectLst/>
          <a:sp3d/>
        </c:spPr>
      </c:pivotFmt>
      <c:pivotFmt>
        <c:idx val="397"/>
        <c:spPr>
          <a:solidFill>
            <a:schemeClr val="accent1"/>
          </a:solidFill>
          <a:ln>
            <a:noFill/>
          </a:ln>
          <a:effectLst/>
          <a:sp3d/>
        </c:spPr>
      </c:pivotFmt>
      <c:pivotFmt>
        <c:idx val="398"/>
        <c:spPr>
          <a:solidFill>
            <a:schemeClr val="accent1"/>
          </a:solidFill>
          <a:ln>
            <a:noFill/>
          </a:ln>
          <a:effectLst/>
          <a:sp3d/>
        </c:spPr>
      </c:pivotFmt>
      <c:pivotFmt>
        <c:idx val="399"/>
        <c:spPr>
          <a:solidFill>
            <a:schemeClr val="accent1"/>
          </a:solidFill>
          <a:ln>
            <a:noFill/>
          </a:ln>
          <a:effectLst/>
          <a:sp3d/>
        </c:spPr>
      </c:pivotFmt>
      <c:pivotFmt>
        <c:idx val="400"/>
        <c:spPr>
          <a:solidFill>
            <a:schemeClr val="accent1"/>
          </a:solidFill>
          <a:ln>
            <a:noFill/>
          </a:ln>
          <a:effectLst/>
          <a:sp3d/>
        </c:spPr>
      </c:pivotFmt>
      <c:pivotFmt>
        <c:idx val="401"/>
        <c:spPr>
          <a:solidFill>
            <a:schemeClr val="accent1"/>
          </a:solidFill>
          <a:ln>
            <a:noFill/>
          </a:ln>
          <a:effectLst/>
          <a:sp3d/>
        </c:spPr>
      </c:pivotFmt>
      <c:pivotFmt>
        <c:idx val="402"/>
        <c:spPr>
          <a:solidFill>
            <a:schemeClr val="accent1"/>
          </a:solidFill>
          <a:ln>
            <a:noFill/>
          </a:ln>
          <a:effectLst/>
          <a:sp3d/>
        </c:spPr>
      </c:pivotFmt>
      <c:pivotFmt>
        <c:idx val="403"/>
        <c:spPr>
          <a:solidFill>
            <a:schemeClr val="accent1"/>
          </a:solidFill>
          <a:ln>
            <a:noFill/>
          </a:ln>
          <a:effectLst/>
          <a:sp3d/>
        </c:spPr>
      </c:pivotFmt>
      <c:pivotFmt>
        <c:idx val="404"/>
        <c:spPr>
          <a:solidFill>
            <a:schemeClr val="accent1"/>
          </a:solidFill>
          <a:ln>
            <a:noFill/>
          </a:ln>
          <a:effectLst/>
          <a:sp3d/>
        </c:spPr>
      </c:pivotFmt>
      <c:pivotFmt>
        <c:idx val="405"/>
        <c:spPr>
          <a:solidFill>
            <a:schemeClr val="accent1"/>
          </a:solidFill>
          <a:ln>
            <a:noFill/>
          </a:ln>
          <a:effectLst/>
          <a:sp3d/>
        </c:spPr>
      </c:pivotFmt>
      <c:pivotFmt>
        <c:idx val="406"/>
        <c:spPr>
          <a:solidFill>
            <a:schemeClr val="accent1"/>
          </a:solidFill>
          <a:ln>
            <a:noFill/>
          </a:ln>
          <a:effectLst/>
          <a:sp3d/>
        </c:spPr>
      </c:pivotFmt>
      <c:pivotFmt>
        <c:idx val="40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a:sp3d/>
        </c:spPr>
      </c:pivotFmt>
      <c:pivotFmt>
        <c:idx val="409"/>
        <c:spPr>
          <a:solidFill>
            <a:schemeClr val="accent1"/>
          </a:solidFill>
          <a:ln>
            <a:noFill/>
          </a:ln>
          <a:effectLst/>
          <a:sp3d/>
        </c:spPr>
      </c:pivotFmt>
      <c:pivotFmt>
        <c:idx val="410"/>
        <c:spPr>
          <a:solidFill>
            <a:schemeClr val="accent1"/>
          </a:solidFill>
          <a:ln>
            <a:noFill/>
          </a:ln>
          <a:effectLst/>
          <a:sp3d/>
        </c:spPr>
      </c:pivotFmt>
      <c:pivotFmt>
        <c:idx val="411"/>
        <c:spPr>
          <a:solidFill>
            <a:schemeClr val="accent1"/>
          </a:solidFill>
          <a:ln>
            <a:noFill/>
          </a:ln>
          <a:effectLst/>
          <a:sp3d/>
        </c:spPr>
      </c:pivotFmt>
      <c:pivotFmt>
        <c:idx val="412"/>
        <c:spPr>
          <a:solidFill>
            <a:schemeClr val="accent1"/>
          </a:solidFill>
          <a:ln>
            <a:noFill/>
          </a:ln>
          <a:effectLst/>
          <a:sp3d/>
        </c:spPr>
      </c:pivotFmt>
      <c:pivotFmt>
        <c:idx val="413"/>
        <c:spPr>
          <a:solidFill>
            <a:schemeClr val="accent1"/>
          </a:solidFill>
          <a:ln>
            <a:noFill/>
          </a:ln>
          <a:effectLst/>
          <a:sp3d/>
        </c:spPr>
      </c:pivotFmt>
      <c:pivotFmt>
        <c:idx val="414"/>
        <c:spPr>
          <a:solidFill>
            <a:schemeClr val="accent1"/>
          </a:solidFill>
          <a:ln>
            <a:noFill/>
          </a:ln>
          <a:effectLst/>
          <a:sp3d/>
        </c:spPr>
      </c:pivotFmt>
      <c:pivotFmt>
        <c:idx val="415"/>
        <c:spPr>
          <a:solidFill>
            <a:schemeClr val="accent1"/>
          </a:solidFill>
          <a:ln>
            <a:noFill/>
          </a:ln>
          <a:effectLst/>
          <a:sp3d/>
        </c:spPr>
      </c:pivotFmt>
      <c:pivotFmt>
        <c:idx val="416"/>
        <c:spPr>
          <a:solidFill>
            <a:schemeClr val="accent1"/>
          </a:solidFill>
          <a:ln>
            <a:noFill/>
          </a:ln>
          <a:effectLst/>
          <a:sp3d/>
        </c:spPr>
      </c:pivotFmt>
      <c:pivotFmt>
        <c:idx val="417"/>
        <c:spPr>
          <a:solidFill>
            <a:schemeClr val="accent1"/>
          </a:solidFill>
          <a:ln>
            <a:noFill/>
          </a:ln>
          <a:effectLst/>
          <a:sp3d/>
        </c:spPr>
      </c:pivotFmt>
      <c:pivotFmt>
        <c:idx val="418"/>
        <c:spPr>
          <a:solidFill>
            <a:schemeClr val="accent1"/>
          </a:solidFill>
          <a:ln>
            <a:noFill/>
          </a:ln>
          <a:effectLst/>
          <a:sp3d/>
        </c:spPr>
      </c:pivotFmt>
      <c:pivotFmt>
        <c:idx val="419"/>
        <c:spPr>
          <a:solidFill>
            <a:schemeClr val="accent1"/>
          </a:solidFill>
          <a:ln>
            <a:noFill/>
          </a:ln>
          <a:effectLst/>
          <a:sp3d/>
        </c:spPr>
      </c:pivotFmt>
      <c:pivotFmt>
        <c:idx val="420"/>
        <c:spPr>
          <a:solidFill>
            <a:schemeClr val="accent1"/>
          </a:solidFill>
          <a:ln>
            <a:noFill/>
          </a:ln>
          <a:effectLst/>
          <a:sp3d/>
        </c:spPr>
      </c:pivotFmt>
      <c:pivotFmt>
        <c:idx val="4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a:sp3d/>
        </c:spPr>
      </c:pivotFmt>
      <c:pivotFmt>
        <c:idx val="423"/>
        <c:spPr>
          <a:solidFill>
            <a:schemeClr val="accent1"/>
          </a:solidFill>
          <a:ln>
            <a:noFill/>
          </a:ln>
          <a:effectLst/>
          <a:sp3d/>
        </c:spPr>
      </c:pivotFmt>
      <c:pivotFmt>
        <c:idx val="424"/>
        <c:spPr>
          <a:solidFill>
            <a:schemeClr val="accent1"/>
          </a:solidFill>
          <a:ln>
            <a:noFill/>
          </a:ln>
          <a:effectLst/>
          <a:sp3d/>
        </c:spPr>
      </c:pivotFmt>
      <c:pivotFmt>
        <c:idx val="425"/>
        <c:spPr>
          <a:solidFill>
            <a:schemeClr val="accent1"/>
          </a:solidFill>
          <a:ln>
            <a:noFill/>
          </a:ln>
          <a:effectLst/>
          <a:sp3d/>
        </c:spPr>
      </c:pivotFmt>
      <c:pivotFmt>
        <c:idx val="426"/>
        <c:spPr>
          <a:solidFill>
            <a:schemeClr val="accent1"/>
          </a:solidFill>
          <a:ln>
            <a:noFill/>
          </a:ln>
          <a:effectLst/>
          <a:sp3d/>
        </c:spPr>
      </c:pivotFmt>
      <c:pivotFmt>
        <c:idx val="427"/>
        <c:spPr>
          <a:solidFill>
            <a:schemeClr val="accent1"/>
          </a:solidFill>
          <a:ln>
            <a:noFill/>
          </a:ln>
          <a:effectLst/>
          <a:sp3d/>
        </c:spPr>
      </c:pivotFmt>
      <c:pivotFmt>
        <c:idx val="428"/>
        <c:spPr>
          <a:solidFill>
            <a:schemeClr val="accent1"/>
          </a:solidFill>
          <a:ln>
            <a:noFill/>
          </a:ln>
          <a:effectLst/>
          <a:sp3d/>
        </c:spPr>
      </c:pivotFmt>
      <c:pivotFmt>
        <c:idx val="429"/>
        <c:spPr>
          <a:solidFill>
            <a:schemeClr val="accent1"/>
          </a:solidFill>
          <a:ln>
            <a:noFill/>
          </a:ln>
          <a:effectLst/>
          <a:sp3d/>
        </c:spPr>
      </c:pivotFmt>
      <c:pivotFmt>
        <c:idx val="430"/>
        <c:spPr>
          <a:solidFill>
            <a:schemeClr val="accent1"/>
          </a:solidFill>
          <a:ln>
            <a:noFill/>
          </a:ln>
          <a:effectLst/>
          <a:sp3d/>
        </c:spPr>
      </c:pivotFmt>
      <c:pivotFmt>
        <c:idx val="431"/>
        <c:spPr>
          <a:solidFill>
            <a:schemeClr val="accent1"/>
          </a:solidFill>
          <a:ln>
            <a:noFill/>
          </a:ln>
          <a:effectLst/>
          <a:sp3d/>
        </c:spPr>
      </c:pivotFmt>
      <c:pivotFmt>
        <c:idx val="432"/>
        <c:spPr>
          <a:solidFill>
            <a:schemeClr val="accent1"/>
          </a:solidFill>
          <a:ln>
            <a:noFill/>
          </a:ln>
          <a:effectLst/>
          <a:sp3d/>
        </c:spPr>
      </c:pivotFmt>
      <c:pivotFmt>
        <c:idx val="433"/>
        <c:spPr>
          <a:solidFill>
            <a:schemeClr val="accent1"/>
          </a:solidFill>
          <a:ln>
            <a:noFill/>
          </a:ln>
          <a:effectLst/>
          <a:sp3d/>
        </c:spPr>
      </c:pivotFmt>
      <c:pivotFmt>
        <c:idx val="434"/>
        <c:spPr>
          <a:solidFill>
            <a:schemeClr val="accent1"/>
          </a:solidFill>
          <a:ln>
            <a:noFill/>
          </a:ln>
          <a:effectLst/>
          <a:sp3d/>
        </c:spPr>
      </c:pivotFmt>
      <c:pivotFmt>
        <c:idx val="4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a:sp3d/>
        </c:spPr>
      </c:pivotFmt>
      <c:pivotFmt>
        <c:idx val="437"/>
        <c:spPr>
          <a:solidFill>
            <a:schemeClr val="accent1"/>
          </a:solidFill>
          <a:ln>
            <a:noFill/>
          </a:ln>
          <a:effectLst/>
          <a:sp3d/>
        </c:spPr>
      </c:pivotFmt>
      <c:pivotFmt>
        <c:idx val="438"/>
        <c:spPr>
          <a:solidFill>
            <a:schemeClr val="accent1"/>
          </a:solidFill>
          <a:ln>
            <a:noFill/>
          </a:ln>
          <a:effectLst/>
          <a:sp3d/>
        </c:spPr>
      </c:pivotFmt>
      <c:pivotFmt>
        <c:idx val="439"/>
        <c:spPr>
          <a:solidFill>
            <a:schemeClr val="accent1"/>
          </a:solidFill>
          <a:ln>
            <a:noFill/>
          </a:ln>
          <a:effectLst/>
          <a:sp3d/>
        </c:spPr>
      </c:pivotFmt>
      <c:pivotFmt>
        <c:idx val="440"/>
        <c:spPr>
          <a:solidFill>
            <a:schemeClr val="accent1"/>
          </a:solidFill>
          <a:ln>
            <a:noFill/>
          </a:ln>
          <a:effectLst/>
          <a:sp3d/>
        </c:spPr>
      </c:pivotFmt>
      <c:pivotFmt>
        <c:idx val="441"/>
        <c:spPr>
          <a:solidFill>
            <a:schemeClr val="accent1"/>
          </a:solidFill>
          <a:ln>
            <a:noFill/>
          </a:ln>
          <a:effectLst/>
          <a:sp3d/>
        </c:spPr>
      </c:pivotFmt>
      <c:pivotFmt>
        <c:idx val="442"/>
        <c:spPr>
          <a:solidFill>
            <a:schemeClr val="accent1"/>
          </a:solidFill>
          <a:ln>
            <a:noFill/>
          </a:ln>
          <a:effectLst/>
          <a:sp3d/>
        </c:spPr>
      </c:pivotFmt>
      <c:pivotFmt>
        <c:idx val="443"/>
        <c:spPr>
          <a:solidFill>
            <a:schemeClr val="accent1"/>
          </a:solidFill>
          <a:ln>
            <a:noFill/>
          </a:ln>
          <a:effectLst/>
          <a:sp3d/>
        </c:spPr>
      </c:pivotFmt>
      <c:pivotFmt>
        <c:idx val="444"/>
        <c:spPr>
          <a:solidFill>
            <a:schemeClr val="accent1"/>
          </a:solidFill>
          <a:ln>
            <a:noFill/>
          </a:ln>
          <a:effectLst/>
          <a:sp3d/>
        </c:spPr>
      </c:pivotFmt>
      <c:pivotFmt>
        <c:idx val="445"/>
        <c:spPr>
          <a:solidFill>
            <a:schemeClr val="accent1"/>
          </a:solidFill>
          <a:ln>
            <a:noFill/>
          </a:ln>
          <a:effectLst/>
          <a:sp3d/>
        </c:spPr>
      </c:pivotFmt>
      <c:pivotFmt>
        <c:idx val="446"/>
        <c:spPr>
          <a:solidFill>
            <a:schemeClr val="accent1"/>
          </a:solidFill>
          <a:ln>
            <a:noFill/>
          </a:ln>
          <a:effectLst/>
          <a:sp3d/>
        </c:spPr>
      </c:pivotFmt>
      <c:pivotFmt>
        <c:idx val="447"/>
        <c:spPr>
          <a:solidFill>
            <a:schemeClr val="accent1"/>
          </a:solidFill>
          <a:ln>
            <a:noFill/>
          </a:ln>
          <a:effectLst/>
          <a:sp3d/>
        </c:spPr>
      </c:pivotFmt>
      <c:pivotFmt>
        <c:idx val="448"/>
        <c:spPr>
          <a:solidFill>
            <a:schemeClr val="accent1"/>
          </a:solidFill>
          <a:ln>
            <a:noFill/>
          </a:ln>
          <a:effectLst/>
          <a:sp3d/>
        </c:spPr>
      </c:pivotFmt>
      <c:pivotFmt>
        <c:idx val="4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a:sp3d/>
        </c:spPr>
      </c:pivotFmt>
      <c:pivotFmt>
        <c:idx val="451"/>
        <c:spPr>
          <a:solidFill>
            <a:schemeClr val="accent1"/>
          </a:solidFill>
          <a:ln>
            <a:noFill/>
          </a:ln>
          <a:effectLst/>
          <a:sp3d/>
        </c:spPr>
      </c:pivotFmt>
      <c:pivotFmt>
        <c:idx val="452"/>
        <c:spPr>
          <a:solidFill>
            <a:schemeClr val="accent1"/>
          </a:solidFill>
          <a:ln>
            <a:noFill/>
          </a:ln>
          <a:effectLst/>
          <a:sp3d/>
        </c:spPr>
      </c:pivotFmt>
      <c:pivotFmt>
        <c:idx val="453"/>
        <c:spPr>
          <a:solidFill>
            <a:schemeClr val="accent1"/>
          </a:solidFill>
          <a:ln>
            <a:noFill/>
          </a:ln>
          <a:effectLst/>
          <a:sp3d/>
        </c:spPr>
      </c:pivotFmt>
      <c:pivotFmt>
        <c:idx val="454"/>
        <c:spPr>
          <a:solidFill>
            <a:schemeClr val="accent1"/>
          </a:solidFill>
          <a:ln>
            <a:noFill/>
          </a:ln>
          <a:effectLst/>
          <a:sp3d/>
        </c:spPr>
      </c:pivotFmt>
      <c:pivotFmt>
        <c:idx val="455"/>
        <c:spPr>
          <a:solidFill>
            <a:schemeClr val="accent1"/>
          </a:solidFill>
          <a:ln>
            <a:noFill/>
          </a:ln>
          <a:effectLst/>
          <a:sp3d/>
        </c:spPr>
      </c:pivotFmt>
      <c:pivotFmt>
        <c:idx val="456"/>
        <c:spPr>
          <a:solidFill>
            <a:schemeClr val="accent1"/>
          </a:solidFill>
          <a:ln>
            <a:noFill/>
          </a:ln>
          <a:effectLst/>
          <a:sp3d/>
        </c:spPr>
      </c:pivotFmt>
      <c:pivotFmt>
        <c:idx val="457"/>
        <c:spPr>
          <a:solidFill>
            <a:schemeClr val="accent1"/>
          </a:solidFill>
          <a:ln>
            <a:noFill/>
          </a:ln>
          <a:effectLst/>
          <a:sp3d/>
        </c:spPr>
      </c:pivotFmt>
      <c:pivotFmt>
        <c:idx val="458"/>
        <c:spPr>
          <a:solidFill>
            <a:schemeClr val="accent1"/>
          </a:solidFill>
          <a:ln>
            <a:noFill/>
          </a:ln>
          <a:effectLst/>
          <a:sp3d/>
        </c:spPr>
      </c:pivotFmt>
      <c:pivotFmt>
        <c:idx val="459"/>
        <c:spPr>
          <a:solidFill>
            <a:schemeClr val="accent1"/>
          </a:solidFill>
          <a:ln>
            <a:noFill/>
          </a:ln>
          <a:effectLst/>
          <a:sp3d/>
        </c:spPr>
      </c:pivotFmt>
      <c:pivotFmt>
        <c:idx val="460"/>
        <c:spPr>
          <a:solidFill>
            <a:schemeClr val="accent1"/>
          </a:solidFill>
          <a:ln>
            <a:noFill/>
          </a:ln>
          <a:effectLst/>
          <a:sp3d/>
        </c:spPr>
      </c:pivotFmt>
      <c:pivotFmt>
        <c:idx val="461"/>
        <c:spPr>
          <a:solidFill>
            <a:schemeClr val="accent1"/>
          </a:solidFill>
          <a:ln>
            <a:noFill/>
          </a:ln>
          <a:effectLst/>
          <a:sp3d/>
        </c:spPr>
      </c:pivotFmt>
      <c:pivotFmt>
        <c:idx val="462"/>
        <c:spPr>
          <a:solidFill>
            <a:schemeClr val="accent1"/>
          </a:solidFill>
          <a:ln>
            <a:noFill/>
          </a:ln>
          <a:effectLst/>
          <a:sp3d/>
        </c:spPr>
      </c:pivotFmt>
      <c:pivotFmt>
        <c:idx val="4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a:sp3d/>
        </c:spPr>
      </c:pivotFmt>
      <c:pivotFmt>
        <c:idx val="465"/>
        <c:spPr>
          <a:solidFill>
            <a:schemeClr val="accent1"/>
          </a:solidFill>
          <a:ln>
            <a:noFill/>
          </a:ln>
          <a:effectLst/>
          <a:sp3d/>
        </c:spPr>
      </c:pivotFmt>
      <c:pivotFmt>
        <c:idx val="466"/>
        <c:spPr>
          <a:solidFill>
            <a:schemeClr val="accent1"/>
          </a:solidFill>
          <a:ln>
            <a:noFill/>
          </a:ln>
          <a:effectLst/>
          <a:sp3d/>
        </c:spPr>
      </c:pivotFmt>
      <c:pivotFmt>
        <c:idx val="467"/>
        <c:spPr>
          <a:solidFill>
            <a:schemeClr val="accent1"/>
          </a:solidFill>
          <a:ln>
            <a:noFill/>
          </a:ln>
          <a:effectLst/>
          <a:sp3d/>
        </c:spPr>
      </c:pivotFmt>
      <c:pivotFmt>
        <c:idx val="468"/>
        <c:spPr>
          <a:solidFill>
            <a:schemeClr val="accent1"/>
          </a:solidFill>
          <a:ln>
            <a:noFill/>
          </a:ln>
          <a:effectLst/>
          <a:sp3d/>
        </c:spPr>
      </c:pivotFmt>
      <c:pivotFmt>
        <c:idx val="469"/>
        <c:spPr>
          <a:solidFill>
            <a:schemeClr val="accent1"/>
          </a:solidFill>
          <a:ln>
            <a:noFill/>
          </a:ln>
          <a:effectLst/>
          <a:sp3d/>
        </c:spPr>
      </c:pivotFmt>
      <c:pivotFmt>
        <c:idx val="470"/>
        <c:spPr>
          <a:solidFill>
            <a:schemeClr val="accent1"/>
          </a:solidFill>
          <a:ln>
            <a:noFill/>
          </a:ln>
          <a:effectLst/>
          <a:sp3d/>
        </c:spPr>
      </c:pivotFmt>
      <c:pivotFmt>
        <c:idx val="471"/>
        <c:spPr>
          <a:solidFill>
            <a:schemeClr val="accent1"/>
          </a:solidFill>
          <a:ln>
            <a:noFill/>
          </a:ln>
          <a:effectLst/>
          <a:sp3d/>
        </c:spPr>
      </c:pivotFmt>
      <c:pivotFmt>
        <c:idx val="472"/>
        <c:spPr>
          <a:solidFill>
            <a:schemeClr val="accent1"/>
          </a:solidFill>
          <a:ln>
            <a:noFill/>
          </a:ln>
          <a:effectLst/>
          <a:sp3d/>
        </c:spPr>
      </c:pivotFmt>
      <c:pivotFmt>
        <c:idx val="473"/>
        <c:spPr>
          <a:solidFill>
            <a:schemeClr val="accent1"/>
          </a:solidFill>
          <a:ln>
            <a:noFill/>
          </a:ln>
          <a:effectLst/>
          <a:sp3d/>
        </c:spPr>
      </c:pivotFmt>
      <c:pivotFmt>
        <c:idx val="474"/>
        <c:spPr>
          <a:solidFill>
            <a:schemeClr val="accent1"/>
          </a:solidFill>
          <a:ln>
            <a:noFill/>
          </a:ln>
          <a:effectLst/>
          <a:sp3d/>
        </c:spPr>
      </c:pivotFmt>
      <c:pivotFmt>
        <c:idx val="475"/>
        <c:spPr>
          <a:solidFill>
            <a:schemeClr val="accent1"/>
          </a:solidFill>
          <a:ln>
            <a:noFill/>
          </a:ln>
          <a:effectLst/>
          <a:sp3d/>
        </c:spPr>
      </c:pivotFmt>
      <c:pivotFmt>
        <c:idx val="476"/>
        <c:spPr>
          <a:solidFill>
            <a:schemeClr val="accent1"/>
          </a:solidFill>
          <a:ln>
            <a:noFill/>
          </a:ln>
          <a:effectLst/>
          <a:sp3d/>
        </c:spPr>
      </c:pivotFmt>
      <c:pivotFmt>
        <c:idx val="4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a:sp3d/>
        </c:spPr>
      </c:pivotFmt>
      <c:pivotFmt>
        <c:idx val="479"/>
        <c:spPr>
          <a:solidFill>
            <a:schemeClr val="accent1"/>
          </a:solidFill>
          <a:ln>
            <a:noFill/>
          </a:ln>
          <a:effectLst/>
          <a:sp3d/>
        </c:spPr>
      </c:pivotFmt>
      <c:pivotFmt>
        <c:idx val="480"/>
        <c:spPr>
          <a:solidFill>
            <a:schemeClr val="accent1"/>
          </a:solidFill>
          <a:ln>
            <a:noFill/>
          </a:ln>
          <a:effectLst/>
          <a:sp3d/>
        </c:spPr>
      </c:pivotFmt>
      <c:pivotFmt>
        <c:idx val="481"/>
        <c:spPr>
          <a:solidFill>
            <a:schemeClr val="accent1"/>
          </a:solidFill>
          <a:ln>
            <a:noFill/>
          </a:ln>
          <a:effectLst/>
          <a:sp3d/>
        </c:spPr>
      </c:pivotFmt>
      <c:pivotFmt>
        <c:idx val="482"/>
        <c:spPr>
          <a:solidFill>
            <a:schemeClr val="accent1"/>
          </a:solidFill>
          <a:ln>
            <a:noFill/>
          </a:ln>
          <a:effectLst/>
          <a:sp3d/>
        </c:spPr>
      </c:pivotFmt>
      <c:pivotFmt>
        <c:idx val="483"/>
        <c:spPr>
          <a:solidFill>
            <a:schemeClr val="accent1"/>
          </a:solidFill>
          <a:ln>
            <a:noFill/>
          </a:ln>
          <a:effectLst/>
          <a:sp3d/>
        </c:spPr>
      </c:pivotFmt>
      <c:pivotFmt>
        <c:idx val="484"/>
        <c:spPr>
          <a:solidFill>
            <a:schemeClr val="accent1"/>
          </a:solidFill>
          <a:ln>
            <a:noFill/>
          </a:ln>
          <a:effectLst/>
          <a:sp3d/>
        </c:spPr>
      </c:pivotFmt>
      <c:pivotFmt>
        <c:idx val="485"/>
        <c:spPr>
          <a:solidFill>
            <a:schemeClr val="accent1"/>
          </a:solidFill>
          <a:ln>
            <a:noFill/>
          </a:ln>
          <a:effectLst/>
          <a:sp3d/>
        </c:spPr>
      </c:pivotFmt>
      <c:pivotFmt>
        <c:idx val="486"/>
        <c:spPr>
          <a:solidFill>
            <a:schemeClr val="accent1"/>
          </a:solidFill>
          <a:ln>
            <a:noFill/>
          </a:ln>
          <a:effectLst/>
          <a:sp3d/>
        </c:spPr>
      </c:pivotFmt>
      <c:pivotFmt>
        <c:idx val="487"/>
        <c:spPr>
          <a:solidFill>
            <a:schemeClr val="accent1"/>
          </a:solidFill>
          <a:ln>
            <a:noFill/>
          </a:ln>
          <a:effectLst/>
          <a:sp3d/>
        </c:spPr>
      </c:pivotFmt>
      <c:pivotFmt>
        <c:idx val="488"/>
        <c:spPr>
          <a:solidFill>
            <a:schemeClr val="accent1"/>
          </a:solidFill>
          <a:ln>
            <a:noFill/>
          </a:ln>
          <a:effectLst/>
          <a:sp3d/>
        </c:spPr>
      </c:pivotFmt>
      <c:pivotFmt>
        <c:idx val="489"/>
        <c:spPr>
          <a:solidFill>
            <a:schemeClr val="accent1"/>
          </a:solidFill>
          <a:ln>
            <a:noFill/>
          </a:ln>
          <a:effectLst/>
          <a:sp3d/>
        </c:spPr>
      </c:pivotFmt>
      <c:pivotFmt>
        <c:idx val="490"/>
        <c:spPr>
          <a:solidFill>
            <a:schemeClr val="accent1"/>
          </a:solidFill>
          <a:ln>
            <a:noFill/>
          </a:ln>
          <a:effectLst/>
          <a:sp3d/>
        </c:spPr>
      </c:pivotFmt>
      <c:pivotFmt>
        <c:idx val="491"/>
        <c:spPr>
          <a:solidFill>
            <a:schemeClr val="accent1"/>
          </a:solidFill>
          <a:ln>
            <a:noFill/>
          </a:ln>
          <a:effectLst/>
          <a:sp3d/>
        </c:spPr>
      </c:pivotFmt>
      <c:pivotFmt>
        <c:idx val="492"/>
        <c:spPr>
          <a:solidFill>
            <a:schemeClr val="accent1"/>
          </a:solidFill>
          <a:ln>
            <a:noFill/>
          </a:ln>
          <a:effectLst/>
          <a:sp3d/>
        </c:spPr>
      </c:pivotFmt>
      <c:pivotFmt>
        <c:idx val="493"/>
        <c:spPr>
          <a:solidFill>
            <a:schemeClr val="accent1"/>
          </a:solidFill>
          <a:ln>
            <a:noFill/>
          </a:ln>
          <a:effectLst/>
          <a:sp3d/>
        </c:spPr>
      </c:pivotFmt>
      <c:pivotFmt>
        <c:idx val="494"/>
        <c:spPr>
          <a:solidFill>
            <a:schemeClr val="accent1"/>
          </a:solidFill>
          <a:ln>
            <a:noFill/>
          </a:ln>
          <a:effectLst/>
          <a:sp3d/>
        </c:spPr>
      </c:pivotFmt>
      <c:pivotFmt>
        <c:idx val="495"/>
        <c:spPr>
          <a:solidFill>
            <a:schemeClr val="accent1"/>
          </a:solidFill>
          <a:ln>
            <a:noFill/>
          </a:ln>
          <a:effectLst/>
          <a:sp3d/>
        </c:spPr>
      </c:pivotFmt>
      <c:pivotFmt>
        <c:idx val="496"/>
        <c:spPr>
          <a:solidFill>
            <a:schemeClr val="accent1"/>
          </a:solidFill>
          <a:ln>
            <a:noFill/>
          </a:ln>
          <a:effectLst/>
          <a:sp3d/>
        </c:spPr>
      </c:pivotFmt>
      <c:pivotFmt>
        <c:idx val="497"/>
        <c:spPr>
          <a:solidFill>
            <a:schemeClr val="accent1"/>
          </a:solidFill>
          <a:ln>
            <a:noFill/>
          </a:ln>
          <a:effectLst/>
          <a:sp3d/>
        </c:spPr>
      </c:pivotFmt>
      <c:pivotFmt>
        <c:idx val="498"/>
        <c:spPr>
          <a:solidFill>
            <a:schemeClr val="accent1"/>
          </a:solidFill>
          <a:ln>
            <a:noFill/>
          </a:ln>
          <a:effectLst/>
          <a:sp3d/>
        </c:spPr>
      </c:pivotFmt>
      <c:pivotFmt>
        <c:idx val="499"/>
        <c:spPr>
          <a:solidFill>
            <a:schemeClr val="accent1"/>
          </a:solidFill>
          <a:ln>
            <a:noFill/>
          </a:ln>
          <a:effectLst/>
          <a:sp3d/>
        </c:spPr>
      </c:pivotFmt>
      <c:pivotFmt>
        <c:idx val="500"/>
        <c:spPr>
          <a:solidFill>
            <a:schemeClr val="accent1"/>
          </a:solidFill>
          <a:ln>
            <a:noFill/>
          </a:ln>
          <a:effectLst/>
          <a:sp3d/>
        </c:spPr>
      </c:pivotFmt>
      <c:pivotFmt>
        <c:idx val="501"/>
        <c:spPr>
          <a:solidFill>
            <a:schemeClr val="accent1"/>
          </a:solidFill>
          <a:ln>
            <a:noFill/>
          </a:ln>
          <a:effectLst/>
          <a:sp3d/>
        </c:spPr>
      </c:pivotFmt>
      <c:pivotFmt>
        <c:idx val="502"/>
        <c:spPr>
          <a:solidFill>
            <a:schemeClr val="accent1"/>
          </a:solidFill>
          <a:ln>
            <a:noFill/>
          </a:ln>
          <a:effectLst/>
          <a:sp3d/>
        </c:spPr>
      </c:pivotFmt>
      <c:pivotFmt>
        <c:idx val="503"/>
        <c:spPr>
          <a:solidFill>
            <a:schemeClr val="accent1"/>
          </a:solidFill>
          <a:ln>
            <a:noFill/>
          </a:ln>
          <a:effectLst/>
          <a:sp3d/>
        </c:spPr>
      </c:pivotFmt>
      <c:pivotFmt>
        <c:idx val="504"/>
        <c:spPr>
          <a:solidFill>
            <a:schemeClr val="accent1"/>
          </a:solidFill>
          <a:ln>
            <a:noFill/>
          </a:ln>
          <a:effectLst/>
          <a:sp3d/>
        </c:spPr>
      </c:pivotFmt>
      <c:pivotFmt>
        <c:idx val="505"/>
        <c:spPr>
          <a:solidFill>
            <a:schemeClr val="accent1"/>
          </a:solidFill>
          <a:ln>
            <a:noFill/>
          </a:ln>
          <a:effectLst/>
          <a:sp3d/>
        </c:spPr>
      </c:pivotFmt>
      <c:pivotFmt>
        <c:idx val="506"/>
        <c:spPr>
          <a:solidFill>
            <a:schemeClr val="accent1"/>
          </a:solidFill>
          <a:ln>
            <a:noFill/>
          </a:ln>
          <a:effectLst/>
          <a:sp3d/>
        </c:spPr>
      </c:pivotFmt>
      <c:pivotFmt>
        <c:idx val="507"/>
        <c:spPr>
          <a:solidFill>
            <a:schemeClr val="accent1"/>
          </a:solidFill>
          <a:ln>
            <a:noFill/>
          </a:ln>
          <a:effectLst/>
          <a:sp3d/>
        </c:spPr>
      </c:pivotFmt>
      <c:pivotFmt>
        <c:idx val="508"/>
        <c:spPr>
          <a:solidFill>
            <a:schemeClr val="accent1"/>
          </a:solidFill>
          <a:ln>
            <a:noFill/>
          </a:ln>
          <a:effectLst/>
          <a:sp3d/>
        </c:spPr>
      </c:pivotFmt>
      <c:pivotFmt>
        <c:idx val="509"/>
        <c:spPr>
          <a:solidFill>
            <a:schemeClr val="accent1"/>
          </a:solidFill>
          <a:ln>
            <a:noFill/>
          </a:ln>
          <a:effectLst/>
          <a:sp3d/>
        </c:spPr>
      </c:pivotFmt>
      <c:pivotFmt>
        <c:idx val="510"/>
        <c:spPr>
          <a:solidFill>
            <a:schemeClr val="accent1"/>
          </a:solidFill>
          <a:ln>
            <a:noFill/>
          </a:ln>
          <a:effectLst/>
          <a:sp3d/>
        </c:spPr>
      </c:pivotFmt>
      <c:pivotFmt>
        <c:idx val="511"/>
        <c:spPr>
          <a:solidFill>
            <a:schemeClr val="accent1"/>
          </a:solidFill>
          <a:ln>
            <a:noFill/>
          </a:ln>
          <a:effectLst/>
          <a:sp3d/>
        </c:spPr>
      </c:pivotFmt>
      <c:pivotFmt>
        <c:idx val="512"/>
        <c:spPr>
          <a:solidFill>
            <a:schemeClr val="accent1"/>
          </a:solidFill>
          <a:ln>
            <a:noFill/>
          </a:ln>
          <a:effectLst/>
          <a:sp3d/>
        </c:spPr>
      </c:pivotFmt>
      <c:pivotFmt>
        <c:idx val="513"/>
        <c:spPr>
          <a:solidFill>
            <a:schemeClr val="accent1"/>
          </a:solidFill>
          <a:ln>
            <a:noFill/>
          </a:ln>
          <a:effectLst/>
          <a:sp3d/>
        </c:spPr>
      </c:pivotFmt>
      <c:pivotFmt>
        <c:idx val="514"/>
        <c:spPr>
          <a:solidFill>
            <a:schemeClr val="accent1"/>
          </a:solidFill>
          <a:ln>
            <a:noFill/>
          </a:ln>
          <a:effectLst/>
          <a:sp3d/>
        </c:spPr>
      </c:pivotFmt>
      <c:pivotFmt>
        <c:idx val="515"/>
        <c:spPr>
          <a:solidFill>
            <a:schemeClr val="accent1"/>
          </a:solidFill>
          <a:ln>
            <a:noFill/>
          </a:ln>
          <a:effectLst/>
          <a:sp3d/>
        </c:spPr>
      </c:pivotFmt>
      <c:pivotFmt>
        <c:idx val="516"/>
        <c:spPr>
          <a:solidFill>
            <a:schemeClr val="accent1"/>
          </a:solidFill>
          <a:ln>
            <a:noFill/>
          </a:ln>
          <a:effectLst/>
          <a:sp3d/>
        </c:spPr>
      </c:pivotFmt>
      <c:pivotFmt>
        <c:idx val="517"/>
        <c:spPr>
          <a:solidFill>
            <a:schemeClr val="accent1"/>
          </a:solidFill>
          <a:ln>
            <a:noFill/>
          </a:ln>
          <a:effectLst/>
          <a:sp3d/>
        </c:spPr>
      </c:pivotFmt>
      <c:pivotFmt>
        <c:idx val="518"/>
        <c:spPr>
          <a:solidFill>
            <a:schemeClr val="accent1"/>
          </a:solidFill>
          <a:ln>
            <a:noFill/>
          </a:ln>
          <a:effectLst/>
          <a:sp3d/>
        </c:spPr>
      </c:pivotFmt>
      <c:pivotFmt>
        <c:idx val="519"/>
        <c:spPr>
          <a:solidFill>
            <a:schemeClr val="accent1"/>
          </a:solidFill>
          <a:ln>
            <a:noFill/>
          </a:ln>
          <a:effectLst/>
          <a:sp3d/>
        </c:spPr>
      </c:pivotFmt>
      <c:pivotFmt>
        <c:idx val="520"/>
        <c:spPr>
          <a:solidFill>
            <a:schemeClr val="accent1"/>
          </a:solidFill>
          <a:ln>
            <a:noFill/>
          </a:ln>
          <a:effectLst/>
          <a:sp3d/>
        </c:spPr>
      </c:pivotFmt>
      <c:pivotFmt>
        <c:idx val="521"/>
        <c:spPr>
          <a:solidFill>
            <a:schemeClr val="accent1"/>
          </a:solidFill>
          <a:ln>
            <a:noFill/>
          </a:ln>
          <a:effectLst/>
          <a:sp3d/>
        </c:spPr>
      </c:pivotFmt>
      <c:pivotFmt>
        <c:idx val="522"/>
        <c:spPr>
          <a:solidFill>
            <a:schemeClr val="accent1"/>
          </a:solidFill>
          <a:ln>
            <a:noFill/>
          </a:ln>
          <a:effectLst/>
          <a:sp3d/>
        </c:spPr>
      </c:pivotFmt>
      <c:pivotFmt>
        <c:idx val="523"/>
        <c:spPr>
          <a:solidFill>
            <a:schemeClr val="accent1"/>
          </a:solidFill>
          <a:ln>
            <a:noFill/>
          </a:ln>
          <a:effectLst/>
          <a:sp3d/>
        </c:spPr>
      </c:pivotFmt>
      <c:pivotFmt>
        <c:idx val="524"/>
        <c:spPr>
          <a:solidFill>
            <a:schemeClr val="accent1"/>
          </a:solidFill>
          <a:ln>
            <a:noFill/>
          </a:ln>
          <a:effectLst/>
          <a:sp3d/>
        </c:spPr>
      </c:pivotFmt>
      <c:pivotFmt>
        <c:idx val="525"/>
        <c:spPr>
          <a:solidFill>
            <a:schemeClr val="accent1"/>
          </a:solidFill>
          <a:ln>
            <a:noFill/>
          </a:ln>
          <a:effectLst/>
          <a:sp3d/>
        </c:spPr>
      </c:pivotFmt>
      <c:pivotFmt>
        <c:idx val="526"/>
        <c:spPr>
          <a:solidFill>
            <a:schemeClr val="accent1"/>
          </a:solidFill>
          <a:ln>
            <a:noFill/>
          </a:ln>
          <a:effectLst/>
          <a:sp3d/>
        </c:spPr>
      </c:pivotFmt>
      <c:pivotFmt>
        <c:idx val="527"/>
        <c:spPr>
          <a:solidFill>
            <a:schemeClr val="accent1"/>
          </a:solidFill>
          <a:ln>
            <a:noFill/>
          </a:ln>
          <a:effectLst/>
          <a:sp3d/>
        </c:spPr>
      </c:pivotFmt>
      <c:pivotFmt>
        <c:idx val="528"/>
        <c:spPr>
          <a:solidFill>
            <a:schemeClr val="accent1"/>
          </a:solidFill>
          <a:ln>
            <a:noFill/>
          </a:ln>
          <a:effectLst/>
          <a:sp3d/>
        </c:spPr>
      </c:pivotFmt>
      <c:pivotFmt>
        <c:idx val="529"/>
        <c:spPr>
          <a:solidFill>
            <a:schemeClr val="accent1"/>
          </a:solidFill>
          <a:ln>
            <a:noFill/>
          </a:ln>
          <a:effectLst/>
          <a:sp3d/>
        </c:spPr>
      </c:pivotFmt>
      <c:pivotFmt>
        <c:idx val="530"/>
        <c:spPr>
          <a:solidFill>
            <a:schemeClr val="accent1"/>
          </a:solidFill>
          <a:ln>
            <a:noFill/>
          </a:ln>
          <a:effectLst/>
          <a:sp3d/>
        </c:spPr>
      </c:pivotFmt>
      <c:pivotFmt>
        <c:idx val="531"/>
        <c:spPr>
          <a:solidFill>
            <a:schemeClr val="accent1"/>
          </a:solidFill>
          <a:ln>
            <a:noFill/>
          </a:ln>
          <a:effectLst/>
          <a:sp3d/>
        </c:spPr>
      </c:pivotFmt>
      <c:pivotFmt>
        <c:idx val="532"/>
        <c:spPr>
          <a:solidFill>
            <a:schemeClr val="accent1"/>
          </a:solidFill>
          <a:ln>
            <a:noFill/>
          </a:ln>
          <a:effectLst/>
          <a:sp3d/>
        </c:spPr>
      </c:pivotFmt>
      <c:pivotFmt>
        <c:idx val="533"/>
        <c:spPr>
          <a:solidFill>
            <a:schemeClr val="accent1"/>
          </a:solidFill>
          <a:ln>
            <a:noFill/>
          </a:ln>
          <a:effectLst/>
          <a:sp3d/>
        </c:spPr>
      </c:pivotFmt>
      <c:pivotFmt>
        <c:idx val="534"/>
        <c:spPr>
          <a:solidFill>
            <a:schemeClr val="accent1"/>
          </a:solidFill>
          <a:ln>
            <a:noFill/>
          </a:ln>
          <a:effectLst/>
          <a:sp3d/>
        </c:spPr>
      </c:pivotFmt>
      <c:pivotFmt>
        <c:idx val="535"/>
        <c:spPr>
          <a:solidFill>
            <a:schemeClr val="accent1"/>
          </a:solidFill>
          <a:ln>
            <a:noFill/>
          </a:ln>
          <a:effectLst/>
          <a:sp3d/>
        </c:spPr>
      </c:pivotFmt>
      <c:pivotFmt>
        <c:idx val="536"/>
        <c:spPr>
          <a:solidFill>
            <a:schemeClr val="accent1"/>
          </a:solidFill>
          <a:ln>
            <a:noFill/>
          </a:ln>
          <a:effectLst/>
          <a:sp3d/>
        </c:spPr>
      </c:pivotFmt>
      <c:pivotFmt>
        <c:idx val="537"/>
        <c:spPr>
          <a:solidFill>
            <a:schemeClr val="accent1"/>
          </a:solidFill>
          <a:ln>
            <a:noFill/>
          </a:ln>
          <a:effectLst/>
          <a:sp3d/>
        </c:spPr>
      </c:pivotFmt>
      <c:pivotFmt>
        <c:idx val="538"/>
        <c:spPr>
          <a:solidFill>
            <a:schemeClr val="accent1"/>
          </a:solidFill>
          <a:ln>
            <a:noFill/>
          </a:ln>
          <a:effectLst/>
          <a:sp3d/>
        </c:spPr>
      </c:pivotFmt>
      <c:pivotFmt>
        <c:idx val="539"/>
        <c:spPr>
          <a:solidFill>
            <a:schemeClr val="accent1"/>
          </a:solidFill>
          <a:ln>
            <a:noFill/>
          </a:ln>
          <a:effectLst/>
          <a:sp3d/>
        </c:spPr>
      </c:pivotFmt>
      <c:pivotFmt>
        <c:idx val="540"/>
        <c:spPr>
          <a:solidFill>
            <a:schemeClr val="accent1"/>
          </a:solidFill>
          <a:ln>
            <a:noFill/>
          </a:ln>
          <a:effectLst/>
          <a:sp3d/>
        </c:spPr>
      </c:pivotFmt>
      <c:pivotFmt>
        <c:idx val="541"/>
        <c:spPr>
          <a:solidFill>
            <a:schemeClr val="accent1"/>
          </a:solidFill>
          <a:ln>
            <a:noFill/>
          </a:ln>
          <a:effectLst/>
          <a:sp3d/>
        </c:spPr>
      </c:pivotFmt>
      <c:pivotFmt>
        <c:idx val="542"/>
        <c:spPr>
          <a:solidFill>
            <a:schemeClr val="accent1"/>
          </a:solidFill>
          <a:ln>
            <a:noFill/>
          </a:ln>
          <a:effectLst/>
          <a:sp3d/>
        </c:spPr>
      </c:pivotFmt>
      <c:pivotFmt>
        <c:idx val="543"/>
        <c:spPr>
          <a:solidFill>
            <a:schemeClr val="accent1"/>
          </a:solidFill>
          <a:ln>
            <a:noFill/>
          </a:ln>
          <a:effectLst/>
          <a:sp3d/>
        </c:spPr>
      </c:pivotFmt>
      <c:pivotFmt>
        <c:idx val="544"/>
        <c:spPr>
          <a:solidFill>
            <a:schemeClr val="accent1"/>
          </a:solidFill>
          <a:ln>
            <a:noFill/>
          </a:ln>
          <a:effectLst/>
          <a:sp3d/>
        </c:spPr>
      </c:pivotFmt>
      <c:pivotFmt>
        <c:idx val="545"/>
        <c:spPr>
          <a:solidFill>
            <a:schemeClr val="accent1"/>
          </a:solidFill>
          <a:ln>
            <a:noFill/>
          </a:ln>
          <a:effectLst/>
          <a:sp3d/>
        </c:spPr>
      </c:pivotFmt>
      <c:pivotFmt>
        <c:idx val="546"/>
        <c:spPr>
          <a:solidFill>
            <a:schemeClr val="accent1"/>
          </a:solidFill>
          <a:ln>
            <a:noFill/>
          </a:ln>
          <a:effectLst/>
          <a:sp3d/>
        </c:spPr>
      </c:pivotFmt>
      <c:pivotFmt>
        <c:idx val="547"/>
        <c:spPr>
          <a:solidFill>
            <a:schemeClr val="accent1"/>
          </a:solidFill>
          <a:ln>
            <a:noFill/>
          </a:ln>
          <a:effectLst/>
          <a:sp3d/>
        </c:spPr>
      </c:pivotFmt>
      <c:pivotFmt>
        <c:idx val="548"/>
        <c:spPr>
          <a:solidFill>
            <a:schemeClr val="accent1"/>
          </a:solidFill>
          <a:ln>
            <a:noFill/>
          </a:ln>
          <a:effectLst/>
          <a:sp3d/>
        </c:spPr>
      </c:pivotFmt>
      <c:pivotFmt>
        <c:idx val="549"/>
        <c:spPr>
          <a:solidFill>
            <a:schemeClr val="accent1"/>
          </a:solidFill>
          <a:ln>
            <a:noFill/>
          </a:ln>
          <a:effectLst/>
          <a:sp3d/>
        </c:spPr>
      </c:pivotFmt>
      <c:pivotFmt>
        <c:idx val="550"/>
        <c:spPr>
          <a:solidFill>
            <a:schemeClr val="accent1"/>
          </a:solidFill>
          <a:ln>
            <a:noFill/>
          </a:ln>
          <a:effectLst/>
          <a:sp3d/>
        </c:spPr>
      </c:pivotFmt>
      <c:pivotFmt>
        <c:idx val="551"/>
        <c:spPr>
          <a:solidFill>
            <a:schemeClr val="accent1"/>
          </a:solidFill>
          <a:ln>
            <a:noFill/>
          </a:ln>
          <a:effectLst/>
          <a:sp3d/>
        </c:spPr>
      </c:pivotFmt>
      <c:pivotFmt>
        <c:idx val="552"/>
        <c:spPr>
          <a:solidFill>
            <a:schemeClr val="accent1"/>
          </a:solidFill>
          <a:ln>
            <a:noFill/>
          </a:ln>
          <a:effectLst/>
          <a:sp3d/>
        </c:spPr>
      </c:pivotFmt>
      <c:pivotFmt>
        <c:idx val="553"/>
        <c:spPr>
          <a:solidFill>
            <a:schemeClr val="accent1"/>
          </a:solidFill>
          <a:ln>
            <a:noFill/>
          </a:ln>
          <a:effectLst/>
          <a:sp3d/>
        </c:spPr>
      </c:pivotFmt>
      <c:pivotFmt>
        <c:idx val="554"/>
        <c:spPr>
          <a:solidFill>
            <a:schemeClr val="accent1"/>
          </a:solidFill>
          <a:ln>
            <a:noFill/>
          </a:ln>
          <a:effectLst/>
          <a:sp3d/>
        </c:spPr>
      </c:pivotFmt>
      <c:pivotFmt>
        <c:idx val="555"/>
        <c:spPr>
          <a:solidFill>
            <a:schemeClr val="accent1"/>
          </a:solidFill>
          <a:ln>
            <a:noFill/>
          </a:ln>
          <a:effectLst/>
          <a:sp3d/>
        </c:spPr>
      </c:pivotFmt>
      <c:pivotFmt>
        <c:idx val="556"/>
        <c:spPr>
          <a:solidFill>
            <a:schemeClr val="accent1"/>
          </a:solidFill>
          <a:ln>
            <a:noFill/>
          </a:ln>
          <a:effectLst/>
          <a:sp3d/>
        </c:spPr>
      </c:pivotFmt>
      <c:pivotFmt>
        <c:idx val="557"/>
        <c:spPr>
          <a:solidFill>
            <a:schemeClr val="accent1"/>
          </a:solidFill>
          <a:ln>
            <a:noFill/>
          </a:ln>
          <a:effectLst/>
          <a:sp3d/>
        </c:spPr>
      </c:pivotFmt>
      <c:pivotFmt>
        <c:idx val="558"/>
        <c:spPr>
          <a:solidFill>
            <a:schemeClr val="accent1"/>
          </a:solidFill>
          <a:ln>
            <a:noFill/>
          </a:ln>
          <a:effectLst/>
          <a:sp3d/>
        </c:spPr>
      </c:pivotFmt>
      <c:pivotFmt>
        <c:idx val="559"/>
        <c:spPr>
          <a:solidFill>
            <a:schemeClr val="accent1"/>
          </a:solidFill>
          <a:ln>
            <a:noFill/>
          </a:ln>
          <a:effectLst/>
          <a:sp3d/>
        </c:spPr>
      </c:pivotFmt>
      <c:pivotFmt>
        <c:idx val="560"/>
        <c:spPr>
          <a:solidFill>
            <a:schemeClr val="accent1"/>
          </a:solidFill>
          <a:ln>
            <a:noFill/>
          </a:ln>
          <a:effectLst/>
          <a:sp3d/>
        </c:spPr>
      </c:pivotFmt>
      <c:pivotFmt>
        <c:idx val="561"/>
        <c:spPr>
          <a:solidFill>
            <a:schemeClr val="accent1"/>
          </a:solidFill>
          <a:ln>
            <a:noFill/>
          </a:ln>
          <a:effectLst/>
          <a:sp3d/>
        </c:spPr>
      </c:pivotFmt>
      <c:pivotFmt>
        <c:idx val="562"/>
        <c:spPr>
          <a:solidFill>
            <a:schemeClr val="accent1"/>
          </a:solidFill>
          <a:ln>
            <a:noFill/>
          </a:ln>
          <a:effectLst/>
          <a:sp3d/>
        </c:spPr>
      </c:pivotFmt>
      <c:pivotFmt>
        <c:idx val="563"/>
        <c:spPr>
          <a:solidFill>
            <a:schemeClr val="accent1"/>
          </a:solidFill>
          <a:ln>
            <a:noFill/>
          </a:ln>
          <a:effectLst/>
          <a:sp3d/>
        </c:spPr>
      </c:pivotFmt>
      <c:pivotFmt>
        <c:idx val="564"/>
        <c:spPr>
          <a:solidFill>
            <a:schemeClr val="accent1"/>
          </a:solidFill>
          <a:ln>
            <a:noFill/>
          </a:ln>
          <a:effectLst/>
          <a:sp3d/>
        </c:spPr>
      </c:pivotFmt>
      <c:pivotFmt>
        <c:idx val="565"/>
        <c:spPr>
          <a:solidFill>
            <a:schemeClr val="accent1"/>
          </a:solidFill>
          <a:ln>
            <a:noFill/>
          </a:ln>
          <a:effectLst/>
          <a:sp3d/>
        </c:spPr>
      </c:pivotFmt>
      <c:pivotFmt>
        <c:idx val="566"/>
        <c:spPr>
          <a:solidFill>
            <a:schemeClr val="accent1"/>
          </a:solidFill>
          <a:ln>
            <a:noFill/>
          </a:ln>
          <a:effectLst/>
          <a:sp3d/>
        </c:spPr>
      </c:pivotFmt>
      <c:pivotFmt>
        <c:idx val="567"/>
        <c:spPr>
          <a:solidFill>
            <a:schemeClr val="accent1"/>
          </a:solidFill>
          <a:ln>
            <a:noFill/>
          </a:ln>
          <a:effectLst/>
          <a:sp3d/>
        </c:spPr>
      </c:pivotFmt>
      <c:pivotFmt>
        <c:idx val="568"/>
        <c:spPr>
          <a:solidFill>
            <a:schemeClr val="accent1"/>
          </a:solidFill>
          <a:ln>
            <a:noFill/>
          </a:ln>
          <a:effectLst/>
          <a:sp3d/>
        </c:spPr>
      </c:pivotFmt>
      <c:pivotFmt>
        <c:idx val="569"/>
        <c:spPr>
          <a:solidFill>
            <a:schemeClr val="accent1"/>
          </a:solidFill>
          <a:ln>
            <a:noFill/>
          </a:ln>
          <a:effectLst/>
          <a:sp3d/>
        </c:spPr>
      </c:pivotFmt>
      <c:pivotFmt>
        <c:idx val="570"/>
        <c:spPr>
          <a:solidFill>
            <a:schemeClr val="accent1"/>
          </a:solidFill>
          <a:ln>
            <a:noFill/>
          </a:ln>
          <a:effectLst/>
          <a:sp3d/>
        </c:spPr>
      </c:pivotFmt>
      <c:pivotFmt>
        <c:idx val="571"/>
        <c:spPr>
          <a:solidFill>
            <a:schemeClr val="accent1"/>
          </a:solidFill>
          <a:ln>
            <a:noFill/>
          </a:ln>
          <a:effectLst/>
          <a:sp3d/>
        </c:spPr>
      </c:pivotFmt>
      <c:pivotFmt>
        <c:idx val="572"/>
        <c:spPr>
          <a:solidFill>
            <a:schemeClr val="accent1"/>
          </a:solidFill>
          <a:ln>
            <a:noFill/>
          </a:ln>
          <a:effectLst/>
          <a:sp3d/>
        </c:spPr>
      </c:pivotFmt>
      <c:pivotFmt>
        <c:idx val="573"/>
        <c:spPr>
          <a:solidFill>
            <a:schemeClr val="accent1"/>
          </a:solidFill>
          <a:ln>
            <a:noFill/>
          </a:ln>
          <a:effectLst/>
          <a:sp3d/>
        </c:spPr>
      </c:pivotFmt>
      <c:pivotFmt>
        <c:idx val="574"/>
        <c:spPr>
          <a:solidFill>
            <a:schemeClr val="accent1"/>
          </a:solidFill>
          <a:ln>
            <a:noFill/>
          </a:ln>
          <a:effectLst/>
          <a:sp3d/>
        </c:spPr>
      </c:pivotFmt>
      <c:pivotFmt>
        <c:idx val="575"/>
        <c:spPr>
          <a:solidFill>
            <a:schemeClr val="accent1"/>
          </a:solidFill>
          <a:ln>
            <a:noFill/>
          </a:ln>
          <a:effectLst/>
          <a:sp3d/>
        </c:spPr>
      </c:pivotFmt>
      <c:pivotFmt>
        <c:idx val="576"/>
        <c:spPr>
          <a:solidFill>
            <a:schemeClr val="accent1"/>
          </a:solidFill>
          <a:ln>
            <a:noFill/>
          </a:ln>
          <a:effectLst/>
          <a:sp3d/>
        </c:spPr>
      </c:pivotFmt>
      <c:pivotFmt>
        <c:idx val="577"/>
        <c:spPr>
          <a:solidFill>
            <a:schemeClr val="accent1"/>
          </a:solidFill>
          <a:ln>
            <a:noFill/>
          </a:ln>
          <a:effectLst/>
          <a:sp3d/>
        </c:spPr>
      </c:pivotFmt>
      <c:pivotFmt>
        <c:idx val="578"/>
        <c:spPr>
          <a:solidFill>
            <a:schemeClr val="accent1"/>
          </a:solidFill>
          <a:ln>
            <a:noFill/>
          </a:ln>
          <a:effectLst/>
          <a:sp3d/>
        </c:spPr>
      </c:pivotFmt>
      <c:pivotFmt>
        <c:idx val="579"/>
        <c:spPr>
          <a:solidFill>
            <a:schemeClr val="accent1"/>
          </a:solidFill>
          <a:ln>
            <a:noFill/>
          </a:ln>
          <a:effectLst/>
          <a:sp3d/>
        </c:spPr>
      </c:pivotFmt>
      <c:pivotFmt>
        <c:idx val="580"/>
        <c:spPr>
          <a:solidFill>
            <a:schemeClr val="accent1"/>
          </a:solidFill>
          <a:ln>
            <a:noFill/>
          </a:ln>
          <a:effectLst/>
          <a:sp3d/>
        </c:spPr>
      </c:pivotFmt>
      <c:pivotFmt>
        <c:idx val="581"/>
        <c:spPr>
          <a:solidFill>
            <a:schemeClr val="accent1"/>
          </a:solidFill>
          <a:ln>
            <a:noFill/>
          </a:ln>
          <a:effectLst/>
          <a:sp3d/>
        </c:spPr>
      </c:pivotFmt>
      <c:pivotFmt>
        <c:idx val="582"/>
        <c:spPr>
          <a:solidFill>
            <a:schemeClr val="accent1"/>
          </a:solidFill>
          <a:ln>
            <a:noFill/>
          </a:ln>
          <a:effectLst/>
          <a:sp3d/>
        </c:spPr>
      </c:pivotFmt>
      <c:pivotFmt>
        <c:idx val="583"/>
        <c:spPr>
          <a:solidFill>
            <a:schemeClr val="accent1"/>
          </a:solidFill>
          <a:ln>
            <a:noFill/>
          </a:ln>
          <a:effectLst/>
          <a:sp3d/>
        </c:spPr>
      </c:pivotFmt>
      <c:pivotFmt>
        <c:idx val="584"/>
        <c:spPr>
          <a:solidFill>
            <a:schemeClr val="accent1"/>
          </a:solidFill>
          <a:ln>
            <a:noFill/>
          </a:ln>
          <a:effectLst/>
          <a:sp3d/>
        </c:spPr>
      </c:pivotFmt>
      <c:pivotFmt>
        <c:idx val="585"/>
        <c:spPr>
          <a:solidFill>
            <a:schemeClr val="accent1"/>
          </a:solidFill>
          <a:ln>
            <a:noFill/>
          </a:ln>
          <a:effectLst/>
          <a:sp3d/>
        </c:spPr>
      </c:pivotFmt>
      <c:pivotFmt>
        <c:idx val="586"/>
        <c:spPr>
          <a:solidFill>
            <a:schemeClr val="accent1"/>
          </a:solidFill>
          <a:ln>
            <a:noFill/>
          </a:ln>
          <a:effectLst/>
          <a:sp3d/>
        </c:spPr>
      </c:pivotFmt>
      <c:pivotFmt>
        <c:idx val="587"/>
        <c:spPr>
          <a:solidFill>
            <a:schemeClr val="accent1"/>
          </a:solidFill>
          <a:ln>
            <a:noFill/>
          </a:ln>
          <a:effectLst/>
          <a:sp3d/>
        </c:spPr>
      </c:pivotFmt>
      <c:pivotFmt>
        <c:idx val="588"/>
        <c:spPr>
          <a:solidFill>
            <a:schemeClr val="accent1"/>
          </a:solidFill>
          <a:ln>
            <a:noFill/>
          </a:ln>
          <a:effectLst/>
          <a:sp3d/>
        </c:spPr>
      </c:pivotFmt>
      <c:pivotFmt>
        <c:idx val="589"/>
        <c:spPr>
          <a:solidFill>
            <a:schemeClr val="accent1"/>
          </a:solidFill>
          <a:ln>
            <a:noFill/>
          </a:ln>
          <a:effectLst/>
          <a:sp3d/>
        </c:spPr>
      </c:pivotFmt>
      <c:pivotFmt>
        <c:idx val="590"/>
        <c:spPr>
          <a:solidFill>
            <a:schemeClr val="accent1"/>
          </a:solidFill>
          <a:ln>
            <a:noFill/>
          </a:ln>
          <a:effectLst/>
          <a:sp3d/>
        </c:spPr>
      </c:pivotFmt>
      <c:pivotFmt>
        <c:idx val="591"/>
        <c:spPr>
          <a:solidFill>
            <a:schemeClr val="accent1"/>
          </a:solidFill>
          <a:ln>
            <a:noFill/>
          </a:ln>
          <a:effectLst/>
          <a:sp3d/>
        </c:spPr>
      </c:pivotFmt>
      <c:pivotFmt>
        <c:idx val="592"/>
        <c:spPr>
          <a:solidFill>
            <a:schemeClr val="accent1"/>
          </a:solidFill>
          <a:ln>
            <a:noFill/>
          </a:ln>
          <a:effectLst/>
          <a:sp3d/>
        </c:spPr>
      </c:pivotFmt>
      <c:pivotFmt>
        <c:idx val="593"/>
        <c:spPr>
          <a:solidFill>
            <a:schemeClr val="accent1"/>
          </a:solidFill>
          <a:ln>
            <a:noFill/>
          </a:ln>
          <a:effectLst/>
          <a:sp3d/>
        </c:spPr>
      </c:pivotFmt>
      <c:pivotFmt>
        <c:idx val="594"/>
        <c:spPr>
          <a:solidFill>
            <a:schemeClr val="accent1"/>
          </a:solidFill>
          <a:ln>
            <a:noFill/>
          </a:ln>
          <a:effectLst/>
          <a:sp3d/>
        </c:spPr>
      </c:pivotFmt>
      <c:pivotFmt>
        <c:idx val="595"/>
        <c:spPr>
          <a:solidFill>
            <a:schemeClr val="accent1"/>
          </a:solidFill>
          <a:ln>
            <a:noFill/>
          </a:ln>
          <a:effectLst/>
          <a:sp3d/>
        </c:spPr>
      </c:pivotFmt>
      <c:pivotFmt>
        <c:idx val="596"/>
        <c:spPr>
          <a:solidFill>
            <a:schemeClr val="accent1"/>
          </a:solidFill>
          <a:ln>
            <a:noFill/>
          </a:ln>
          <a:effectLst/>
          <a:sp3d/>
        </c:spPr>
      </c:pivotFmt>
      <c:pivotFmt>
        <c:idx val="597"/>
        <c:spPr>
          <a:solidFill>
            <a:schemeClr val="accent1"/>
          </a:solidFill>
          <a:ln>
            <a:noFill/>
          </a:ln>
          <a:effectLst/>
          <a:sp3d/>
        </c:spPr>
      </c:pivotFmt>
      <c:pivotFmt>
        <c:idx val="598"/>
        <c:spPr>
          <a:solidFill>
            <a:schemeClr val="accent1"/>
          </a:solidFill>
          <a:ln>
            <a:noFill/>
          </a:ln>
          <a:effectLst/>
          <a:sp3d/>
        </c:spPr>
      </c:pivotFmt>
      <c:pivotFmt>
        <c:idx val="599"/>
        <c:spPr>
          <a:solidFill>
            <a:schemeClr val="accent1"/>
          </a:solidFill>
          <a:ln>
            <a:noFill/>
          </a:ln>
          <a:effectLst/>
          <a:sp3d/>
        </c:spPr>
      </c:pivotFmt>
      <c:pivotFmt>
        <c:idx val="600"/>
        <c:spPr>
          <a:solidFill>
            <a:schemeClr val="accent1"/>
          </a:solidFill>
          <a:ln>
            <a:noFill/>
          </a:ln>
          <a:effectLst/>
          <a:sp3d/>
        </c:spPr>
      </c:pivotFmt>
      <c:pivotFmt>
        <c:idx val="601"/>
        <c:spPr>
          <a:solidFill>
            <a:schemeClr val="accent1"/>
          </a:solidFill>
          <a:ln>
            <a:noFill/>
          </a:ln>
          <a:effectLst/>
          <a:sp3d/>
        </c:spPr>
      </c:pivotFmt>
      <c:pivotFmt>
        <c:idx val="602"/>
        <c:spPr>
          <a:solidFill>
            <a:schemeClr val="accent1"/>
          </a:solidFill>
          <a:ln>
            <a:noFill/>
          </a:ln>
          <a:effectLst/>
          <a:sp3d/>
        </c:spPr>
      </c:pivotFmt>
      <c:pivotFmt>
        <c:idx val="603"/>
        <c:spPr>
          <a:solidFill>
            <a:schemeClr val="accent1"/>
          </a:solidFill>
          <a:ln>
            <a:noFill/>
          </a:ln>
          <a:effectLst/>
          <a:sp3d/>
        </c:spPr>
      </c:pivotFmt>
      <c:pivotFmt>
        <c:idx val="604"/>
        <c:spPr>
          <a:solidFill>
            <a:schemeClr val="accent1"/>
          </a:solidFill>
          <a:ln>
            <a:noFill/>
          </a:ln>
          <a:effectLst/>
          <a:sp3d/>
        </c:spPr>
      </c:pivotFmt>
      <c:pivotFmt>
        <c:idx val="605"/>
        <c:spPr>
          <a:solidFill>
            <a:schemeClr val="accent1"/>
          </a:solidFill>
          <a:ln>
            <a:noFill/>
          </a:ln>
          <a:effectLst/>
          <a:sp3d/>
        </c:spPr>
      </c:pivotFmt>
      <c:pivotFmt>
        <c:idx val="606"/>
        <c:spPr>
          <a:solidFill>
            <a:schemeClr val="accent1"/>
          </a:solidFill>
          <a:ln>
            <a:noFill/>
          </a:ln>
          <a:effectLst/>
          <a:sp3d/>
        </c:spPr>
      </c:pivotFmt>
      <c:pivotFmt>
        <c:idx val="607"/>
        <c:spPr>
          <a:solidFill>
            <a:schemeClr val="accent1"/>
          </a:solidFill>
          <a:ln>
            <a:noFill/>
          </a:ln>
          <a:effectLst/>
          <a:sp3d/>
        </c:spPr>
      </c:pivotFmt>
      <c:pivotFmt>
        <c:idx val="608"/>
        <c:spPr>
          <a:solidFill>
            <a:schemeClr val="accent1"/>
          </a:solidFill>
          <a:ln>
            <a:noFill/>
          </a:ln>
          <a:effectLst/>
          <a:sp3d/>
        </c:spPr>
      </c:pivotFmt>
      <c:pivotFmt>
        <c:idx val="609"/>
        <c:spPr>
          <a:solidFill>
            <a:schemeClr val="accent1"/>
          </a:solidFill>
          <a:ln>
            <a:noFill/>
          </a:ln>
          <a:effectLst/>
          <a:sp3d/>
        </c:spPr>
      </c:pivotFmt>
      <c:pivotFmt>
        <c:idx val="610"/>
        <c:spPr>
          <a:solidFill>
            <a:schemeClr val="accent1"/>
          </a:solidFill>
          <a:ln>
            <a:noFill/>
          </a:ln>
          <a:effectLst/>
          <a:sp3d/>
        </c:spPr>
      </c:pivotFmt>
    </c:pivotFmts>
    <c:view3D>
      <c:rotX val="7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23396698957917E-2"/>
          <c:y val="0.2096849419823836"/>
          <c:w val="0.82938090632883055"/>
          <c:h val="0.64608812991629649"/>
        </c:manualLayout>
      </c:layout>
      <c:pie3DChart>
        <c:varyColors val="1"/>
        <c:ser>
          <c:idx val="0"/>
          <c:order val="0"/>
          <c:tx>
            <c:strRef>
              <c:f>Sheet1!$B$4:$B$6</c:f>
              <c:strCache>
                <c:ptCount val="1"/>
                <c:pt idx="0">
                  <c:v>Active - TECH01</c:v>
                </c:pt>
              </c:strCache>
            </c:strRef>
          </c:tx>
          <c:dPt>
            <c:idx val="0"/>
            <c:bubble3D val="0"/>
            <c:spPr>
              <a:solidFill>
                <a:schemeClr val="accent1"/>
              </a:solidFill>
              <a:ln>
                <a:noFill/>
              </a:ln>
              <a:effectLst/>
              <a:sp3d/>
            </c:spPr>
            <c:extLst>
              <c:ext xmlns:c16="http://schemas.microsoft.com/office/drawing/2014/chart" uri="{C3380CC4-5D6E-409C-BE32-E72D297353CC}">
                <c16:uniqueId val="{00000001-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03-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05-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07-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09-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0B-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Sheet1!$B$7:$B$25</c:f>
              <c:numCache>
                <c:formatCode>General</c:formatCode>
                <c:ptCount val="18"/>
                <c:pt idx="0">
                  <c:v>1</c:v>
                </c:pt>
                <c:pt idx="7">
                  <c:v>1</c:v>
                </c:pt>
                <c:pt idx="8">
                  <c:v>2</c:v>
                </c:pt>
                <c:pt idx="9">
                  <c:v>7</c:v>
                </c:pt>
                <c:pt idx="10">
                  <c:v>3</c:v>
                </c:pt>
                <c:pt idx="12">
                  <c:v>1</c:v>
                </c:pt>
              </c:numCache>
            </c:numRef>
          </c:val>
          <c:extLst>
            <c:ext xmlns:c16="http://schemas.microsoft.com/office/drawing/2014/chart" uri="{C3380CC4-5D6E-409C-BE32-E72D297353CC}">
              <c16:uniqueId val="{00000000-A013-46D4-B6C0-1BAFA3A0D1E0}"/>
            </c:ext>
          </c:extLst>
        </c:ser>
        <c:ser>
          <c:idx val="1"/>
          <c:order val="1"/>
          <c:tx>
            <c:strRef>
              <c:f>Sheet1!$C$4:$C$6</c:f>
              <c:strCache>
                <c:ptCount val="1"/>
                <c:pt idx="0">
                  <c:v>Active - TECH02</c:v>
                </c:pt>
              </c:strCache>
            </c:strRef>
          </c:tx>
          <c:dPt>
            <c:idx val="0"/>
            <c:bubble3D val="0"/>
            <c:spPr>
              <a:solidFill>
                <a:schemeClr val="accent1"/>
              </a:solidFill>
              <a:ln>
                <a:noFill/>
              </a:ln>
              <a:effectLst/>
              <a:sp3d/>
            </c:spPr>
            <c:extLst>
              <c:ext xmlns:c16="http://schemas.microsoft.com/office/drawing/2014/chart" uri="{C3380CC4-5D6E-409C-BE32-E72D297353CC}">
                <c16:uniqueId val="{0000001B-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1D-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1F-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21-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23-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25-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27-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29-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2B-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2D-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2F-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31-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33-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3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4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4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4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4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Sheet1!$C$7:$C$25</c:f>
              <c:numCache>
                <c:formatCode>General</c:formatCode>
                <c:ptCount val="18"/>
                <c:pt idx="0">
                  <c:v>5</c:v>
                </c:pt>
                <c:pt idx="7">
                  <c:v>5</c:v>
                </c:pt>
                <c:pt idx="8">
                  <c:v>2</c:v>
                </c:pt>
                <c:pt idx="9">
                  <c:v>4</c:v>
                </c:pt>
                <c:pt idx="10">
                  <c:v>3</c:v>
                </c:pt>
                <c:pt idx="11">
                  <c:v>5</c:v>
                </c:pt>
              </c:numCache>
            </c:numRef>
          </c:val>
          <c:extLst>
            <c:ext xmlns:c16="http://schemas.microsoft.com/office/drawing/2014/chart" uri="{C3380CC4-5D6E-409C-BE32-E72D297353CC}">
              <c16:uniqueId val="{0000001F-A013-46D4-B6C0-1BAFA3A0D1E0}"/>
            </c:ext>
          </c:extLst>
        </c:ser>
        <c:ser>
          <c:idx val="2"/>
          <c:order val="2"/>
          <c:tx>
            <c:strRef>
              <c:f>Sheet1!$D$4:$D$6</c:f>
              <c:strCache>
                <c:ptCount val="1"/>
                <c:pt idx="0">
                  <c:v>Active - TECH03</c:v>
                </c:pt>
              </c:strCache>
            </c:strRef>
          </c:tx>
          <c:dPt>
            <c:idx val="0"/>
            <c:bubble3D val="0"/>
            <c:spPr>
              <a:solidFill>
                <a:schemeClr val="accent1"/>
              </a:solidFill>
              <a:ln>
                <a:noFill/>
              </a:ln>
              <a:effectLst/>
              <a:sp3d/>
            </c:spPr>
            <c:extLst>
              <c:ext xmlns:c16="http://schemas.microsoft.com/office/drawing/2014/chart" uri="{C3380CC4-5D6E-409C-BE32-E72D297353CC}">
                <c16:uniqueId val="{00000035-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37-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39-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3B-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3D-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3F-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41-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43-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45-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47-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49-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4B-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4D-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6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6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6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6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6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Sheet1!$D$7:$D$25</c:f>
              <c:numCache>
                <c:formatCode>General</c:formatCode>
                <c:ptCount val="18"/>
                <c:pt idx="0">
                  <c:v>1</c:v>
                </c:pt>
                <c:pt idx="7">
                  <c:v>2</c:v>
                </c:pt>
                <c:pt idx="8">
                  <c:v>3</c:v>
                </c:pt>
                <c:pt idx="9">
                  <c:v>3</c:v>
                </c:pt>
                <c:pt idx="10">
                  <c:v>5</c:v>
                </c:pt>
                <c:pt idx="11">
                  <c:v>1</c:v>
                </c:pt>
              </c:numCache>
            </c:numRef>
          </c:val>
          <c:extLst>
            <c:ext xmlns:c16="http://schemas.microsoft.com/office/drawing/2014/chart" uri="{C3380CC4-5D6E-409C-BE32-E72D297353CC}">
              <c16:uniqueId val="{00000020-A013-46D4-B6C0-1BAFA3A0D1E0}"/>
            </c:ext>
          </c:extLst>
        </c:ser>
        <c:ser>
          <c:idx val="3"/>
          <c:order val="3"/>
          <c:tx>
            <c:strRef>
              <c:f>Sheet1!$E$4:$E$6</c:f>
              <c:strCache>
                <c:ptCount val="1"/>
                <c:pt idx="0">
                  <c:v>Active - TECH04</c:v>
                </c:pt>
              </c:strCache>
            </c:strRef>
          </c:tx>
          <c:dPt>
            <c:idx val="0"/>
            <c:bubble3D val="0"/>
            <c:spPr>
              <a:solidFill>
                <a:schemeClr val="accent1"/>
              </a:solidFill>
              <a:ln>
                <a:noFill/>
              </a:ln>
              <a:effectLst/>
              <a:sp3d/>
            </c:spPr>
            <c:extLst>
              <c:ext xmlns:c16="http://schemas.microsoft.com/office/drawing/2014/chart" uri="{C3380CC4-5D6E-409C-BE32-E72D297353CC}">
                <c16:uniqueId val="{0000004F-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51-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53-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55-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57-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59-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5B-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5D-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5F-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61-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63-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65-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67-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8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8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8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8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8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Sheet1!$E$7:$E$25</c:f>
              <c:numCache>
                <c:formatCode>General</c:formatCode>
                <c:ptCount val="18"/>
                <c:pt idx="7">
                  <c:v>2</c:v>
                </c:pt>
                <c:pt idx="8">
                  <c:v>4</c:v>
                </c:pt>
                <c:pt idx="9">
                  <c:v>5</c:v>
                </c:pt>
                <c:pt idx="10">
                  <c:v>3</c:v>
                </c:pt>
                <c:pt idx="11">
                  <c:v>3</c:v>
                </c:pt>
                <c:pt idx="12">
                  <c:v>2</c:v>
                </c:pt>
              </c:numCache>
            </c:numRef>
          </c:val>
          <c:extLst>
            <c:ext xmlns:c16="http://schemas.microsoft.com/office/drawing/2014/chart" uri="{C3380CC4-5D6E-409C-BE32-E72D297353CC}">
              <c16:uniqueId val="{00000039-A013-46D4-B6C0-1BAFA3A0D1E0}"/>
            </c:ext>
          </c:extLst>
        </c:ser>
        <c:ser>
          <c:idx val="4"/>
          <c:order val="4"/>
          <c:tx>
            <c:strRef>
              <c:f>Sheet1!$F$4:$F$6</c:f>
              <c:strCache>
                <c:ptCount val="1"/>
                <c:pt idx="0">
                  <c:v>Active - TECH05</c:v>
                </c:pt>
              </c:strCache>
            </c:strRef>
          </c:tx>
          <c:dPt>
            <c:idx val="0"/>
            <c:bubble3D val="0"/>
            <c:spPr>
              <a:solidFill>
                <a:schemeClr val="accent1"/>
              </a:solidFill>
              <a:ln>
                <a:noFill/>
              </a:ln>
              <a:effectLst/>
              <a:sp3d/>
            </c:spPr>
            <c:extLst>
              <c:ext xmlns:c16="http://schemas.microsoft.com/office/drawing/2014/chart" uri="{C3380CC4-5D6E-409C-BE32-E72D297353CC}">
                <c16:uniqueId val="{00000069-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6B-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6D-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6F-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71-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73-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75-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77-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79-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7B-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7D-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7F-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81-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A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A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A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B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B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Sheet1!$F$7:$F$25</c:f>
              <c:numCache>
                <c:formatCode>General</c:formatCode>
                <c:ptCount val="18"/>
                <c:pt idx="0">
                  <c:v>5</c:v>
                </c:pt>
                <c:pt idx="7">
                  <c:v>4</c:v>
                </c:pt>
                <c:pt idx="9">
                  <c:v>3</c:v>
                </c:pt>
                <c:pt idx="10">
                  <c:v>5</c:v>
                </c:pt>
                <c:pt idx="11">
                  <c:v>1</c:v>
                </c:pt>
                <c:pt idx="12">
                  <c:v>2</c:v>
                </c:pt>
              </c:numCache>
            </c:numRef>
          </c:val>
          <c:extLst>
            <c:ext xmlns:c16="http://schemas.microsoft.com/office/drawing/2014/chart" uri="{C3380CC4-5D6E-409C-BE32-E72D297353CC}">
              <c16:uniqueId val="{0000003A-A013-46D4-B6C0-1BAFA3A0D1E0}"/>
            </c:ext>
          </c:extLst>
        </c:ser>
        <c:ser>
          <c:idx val="5"/>
          <c:order val="5"/>
          <c:tx>
            <c:strRef>
              <c:f>Sheet1!$G$4:$G$6</c:f>
              <c:strCache>
                <c:ptCount val="1"/>
                <c:pt idx="0">
                  <c:v>Active - TECH06</c:v>
                </c:pt>
              </c:strCache>
            </c:strRef>
          </c:tx>
          <c:dPt>
            <c:idx val="0"/>
            <c:bubble3D val="0"/>
            <c:spPr>
              <a:solidFill>
                <a:schemeClr val="accent1"/>
              </a:solidFill>
              <a:ln>
                <a:noFill/>
              </a:ln>
              <a:effectLst/>
              <a:sp3d/>
            </c:spPr>
            <c:extLst>
              <c:ext xmlns:c16="http://schemas.microsoft.com/office/drawing/2014/chart" uri="{C3380CC4-5D6E-409C-BE32-E72D297353CC}">
                <c16:uniqueId val="{00000083-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85-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87-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89-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8B-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8D-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8F-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91-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93-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95-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97-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99-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9B-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C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D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D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D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D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Sheet1!$G$7:$G$25</c:f>
              <c:numCache>
                <c:formatCode>General</c:formatCode>
                <c:ptCount val="18"/>
                <c:pt idx="0">
                  <c:v>5</c:v>
                </c:pt>
                <c:pt idx="8">
                  <c:v>3</c:v>
                </c:pt>
                <c:pt idx="9">
                  <c:v>2</c:v>
                </c:pt>
                <c:pt idx="10">
                  <c:v>4</c:v>
                </c:pt>
                <c:pt idx="11">
                  <c:v>3</c:v>
                </c:pt>
                <c:pt idx="12">
                  <c:v>4</c:v>
                </c:pt>
              </c:numCache>
            </c:numRef>
          </c:val>
          <c:extLst>
            <c:ext xmlns:c16="http://schemas.microsoft.com/office/drawing/2014/chart" uri="{C3380CC4-5D6E-409C-BE32-E72D297353CC}">
              <c16:uniqueId val="{0000003B-A013-46D4-B6C0-1BAFA3A0D1E0}"/>
            </c:ext>
          </c:extLst>
        </c:ser>
        <c:ser>
          <c:idx val="6"/>
          <c:order val="6"/>
          <c:tx>
            <c:strRef>
              <c:f>Sheet1!$H$4:$H$6</c:f>
              <c:strCache>
                <c:ptCount val="1"/>
                <c:pt idx="0">
                  <c:v>Active - TECH07</c:v>
                </c:pt>
              </c:strCache>
            </c:strRef>
          </c:tx>
          <c:dPt>
            <c:idx val="0"/>
            <c:bubble3D val="0"/>
            <c:spPr>
              <a:solidFill>
                <a:schemeClr val="accent1"/>
              </a:solidFill>
              <a:ln>
                <a:noFill/>
              </a:ln>
              <a:effectLst/>
              <a:sp3d/>
            </c:spPr>
            <c:extLst>
              <c:ext xmlns:c16="http://schemas.microsoft.com/office/drawing/2014/chart" uri="{C3380CC4-5D6E-409C-BE32-E72D297353CC}">
                <c16:uniqueId val="{0000009D-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9F-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A1-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A3-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A5-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A7-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A9-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AB-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AD-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AF-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B1-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B3-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B5-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F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F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F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F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F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Sheet1!$H$7:$H$25</c:f>
              <c:numCache>
                <c:formatCode>General</c:formatCode>
                <c:ptCount val="18"/>
                <c:pt idx="7">
                  <c:v>1</c:v>
                </c:pt>
                <c:pt idx="8">
                  <c:v>2</c:v>
                </c:pt>
                <c:pt idx="9">
                  <c:v>3</c:v>
                </c:pt>
                <c:pt idx="10">
                  <c:v>3</c:v>
                </c:pt>
                <c:pt idx="11">
                  <c:v>2</c:v>
                </c:pt>
                <c:pt idx="12">
                  <c:v>2</c:v>
                </c:pt>
              </c:numCache>
            </c:numRef>
          </c:val>
          <c:extLst>
            <c:ext xmlns:c16="http://schemas.microsoft.com/office/drawing/2014/chart" uri="{C3380CC4-5D6E-409C-BE32-E72D297353CC}">
              <c16:uniqueId val="{0000003C-A013-46D4-B6C0-1BAFA3A0D1E0}"/>
            </c:ext>
          </c:extLst>
        </c:ser>
        <c:ser>
          <c:idx val="7"/>
          <c:order val="7"/>
          <c:tx>
            <c:strRef>
              <c:f>Sheet1!$I$4:$I$6</c:f>
              <c:strCache>
                <c:ptCount val="1"/>
                <c:pt idx="0">
                  <c:v>Active - TECH08</c:v>
                </c:pt>
              </c:strCache>
            </c:strRef>
          </c:tx>
          <c:dPt>
            <c:idx val="0"/>
            <c:bubble3D val="0"/>
            <c:spPr>
              <a:solidFill>
                <a:schemeClr val="accent1"/>
              </a:solidFill>
              <a:ln>
                <a:noFill/>
              </a:ln>
              <a:effectLst/>
              <a:sp3d/>
            </c:spPr>
            <c:extLst>
              <c:ext xmlns:c16="http://schemas.microsoft.com/office/drawing/2014/chart" uri="{C3380CC4-5D6E-409C-BE32-E72D297353CC}">
                <c16:uniqueId val="{000000B7-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B9-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BB-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BD-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BF-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C1-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C3-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C5-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C7-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C9-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CB-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CD-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CF-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1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1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1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1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1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Sheet1!$I$7:$I$25</c:f>
              <c:numCache>
                <c:formatCode>General</c:formatCode>
                <c:ptCount val="18"/>
                <c:pt idx="7">
                  <c:v>2</c:v>
                </c:pt>
                <c:pt idx="8">
                  <c:v>2</c:v>
                </c:pt>
                <c:pt idx="9">
                  <c:v>4</c:v>
                </c:pt>
                <c:pt idx="10">
                  <c:v>4</c:v>
                </c:pt>
                <c:pt idx="11">
                  <c:v>2</c:v>
                </c:pt>
                <c:pt idx="12">
                  <c:v>3</c:v>
                </c:pt>
              </c:numCache>
            </c:numRef>
          </c:val>
          <c:extLst>
            <c:ext xmlns:c16="http://schemas.microsoft.com/office/drawing/2014/chart" uri="{C3380CC4-5D6E-409C-BE32-E72D297353CC}">
              <c16:uniqueId val="{0000003D-A013-46D4-B6C0-1BAFA3A0D1E0}"/>
            </c:ext>
          </c:extLst>
        </c:ser>
        <c:ser>
          <c:idx val="8"/>
          <c:order val="8"/>
          <c:tx>
            <c:strRef>
              <c:f>Sheet1!$K$4:$K$6</c:f>
              <c:strCache>
                <c:ptCount val="1"/>
                <c:pt idx="0">
                  <c:v>Idle - TECH01</c:v>
                </c:pt>
              </c:strCache>
            </c:strRef>
          </c:tx>
          <c:dPt>
            <c:idx val="0"/>
            <c:bubble3D val="0"/>
            <c:spPr>
              <a:solidFill>
                <a:schemeClr val="accent1"/>
              </a:solidFill>
              <a:ln>
                <a:noFill/>
              </a:ln>
              <a:effectLst/>
              <a:sp3d/>
            </c:spPr>
            <c:extLst>
              <c:ext xmlns:c16="http://schemas.microsoft.com/office/drawing/2014/chart" uri="{C3380CC4-5D6E-409C-BE32-E72D297353CC}">
                <c16:uniqueId val="{000000D1-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D3-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D5-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D7-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D9-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DB-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DD-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DF-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E1-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E3-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E5-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E7-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E9-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3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3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3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4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4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Sheet1!$K$7:$K$25</c:f>
              <c:numCache>
                <c:formatCode>General</c:formatCode>
                <c:ptCount val="18"/>
                <c:pt idx="7">
                  <c:v>1</c:v>
                </c:pt>
                <c:pt idx="8">
                  <c:v>1</c:v>
                </c:pt>
                <c:pt idx="9">
                  <c:v>1</c:v>
                </c:pt>
                <c:pt idx="10">
                  <c:v>1</c:v>
                </c:pt>
                <c:pt idx="11">
                  <c:v>3</c:v>
                </c:pt>
              </c:numCache>
            </c:numRef>
          </c:val>
          <c:extLst>
            <c:ext xmlns:c16="http://schemas.microsoft.com/office/drawing/2014/chart" uri="{C3380CC4-5D6E-409C-BE32-E72D297353CC}">
              <c16:uniqueId val="{00000066-A013-46D4-B6C0-1BAFA3A0D1E0}"/>
            </c:ext>
          </c:extLst>
        </c:ser>
        <c:ser>
          <c:idx val="9"/>
          <c:order val="9"/>
          <c:tx>
            <c:strRef>
              <c:f>Sheet1!$L$4:$L$6</c:f>
              <c:strCache>
                <c:ptCount val="1"/>
                <c:pt idx="0">
                  <c:v>Idle - TECH02</c:v>
                </c:pt>
              </c:strCache>
            </c:strRef>
          </c:tx>
          <c:dPt>
            <c:idx val="0"/>
            <c:bubble3D val="0"/>
            <c:spPr>
              <a:solidFill>
                <a:schemeClr val="accent1"/>
              </a:solidFill>
              <a:ln>
                <a:noFill/>
              </a:ln>
              <a:effectLst/>
              <a:sp3d/>
            </c:spPr>
            <c:extLst>
              <c:ext xmlns:c16="http://schemas.microsoft.com/office/drawing/2014/chart" uri="{C3380CC4-5D6E-409C-BE32-E72D297353CC}">
                <c16:uniqueId val="{000000EB-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0ED-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0EF-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0F1-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0F3-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0F5-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F7-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F9-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FB-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FD-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FF-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01-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03-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5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6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6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6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6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Sheet1!$L$7:$L$25</c:f>
              <c:numCache>
                <c:formatCode>General</c:formatCode>
                <c:ptCount val="18"/>
                <c:pt idx="7">
                  <c:v>1</c:v>
                </c:pt>
                <c:pt idx="8">
                  <c:v>3</c:v>
                </c:pt>
                <c:pt idx="12">
                  <c:v>1</c:v>
                </c:pt>
              </c:numCache>
            </c:numRef>
          </c:val>
          <c:extLst>
            <c:ext xmlns:c16="http://schemas.microsoft.com/office/drawing/2014/chart" uri="{C3380CC4-5D6E-409C-BE32-E72D297353CC}">
              <c16:uniqueId val="{00000067-A013-46D4-B6C0-1BAFA3A0D1E0}"/>
            </c:ext>
          </c:extLst>
        </c:ser>
        <c:ser>
          <c:idx val="10"/>
          <c:order val="10"/>
          <c:tx>
            <c:strRef>
              <c:f>Sheet1!$M$4:$M$6</c:f>
              <c:strCache>
                <c:ptCount val="1"/>
                <c:pt idx="0">
                  <c:v>Idle - TECH03</c:v>
                </c:pt>
              </c:strCache>
            </c:strRef>
          </c:tx>
          <c:dPt>
            <c:idx val="0"/>
            <c:bubble3D val="0"/>
            <c:spPr>
              <a:solidFill>
                <a:schemeClr val="accent1"/>
              </a:solidFill>
              <a:ln>
                <a:noFill/>
              </a:ln>
              <a:effectLst/>
              <a:sp3d/>
            </c:spPr>
            <c:extLst>
              <c:ext xmlns:c16="http://schemas.microsoft.com/office/drawing/2014/chart" uri="{C3380CC4-5D6E-409C-BE32-E72D297353CC}">
                <c16:uniqueId val="{00000105-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07-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09-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0B-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0D-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0F-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11-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13-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15-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17-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19-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1B-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1D-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8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8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8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8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8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Sheet1!$M$7:$M$25</c:f>
              <c:numCache>
                <c:formatCode>General</c:formatCode>
                <c:ptCount val="18"/>
                <c:pt idx="7">
                  <c:v>3</c:v>
                </c:pt>
                <c:pt idx="8">
                  <c:v>1</c:v>
                </c:pt>
                <c:pt idx="9">
                  <c:v>1</c:v>
                </c:pt>
                <c:pt idx="10">
                  <c:v>2</c:v>
                </c:pt>
                <c:pt idx="12">
                  <c:v>2</c:v>
                </c:pt>
              </c:numCache>
            </c:numRef>
          </c:val>
          <c:extLst>
            <c:ext xmlns:c16="http://schemas.microsoft.com/office/drawing/2014/chart" uri="{C3380CC4-5D6E-409C-BE32-E72D297353CC}">
              <c16:uniqueId val="{00000068-A013-46D4-B6C0-1BAFA3A0D1E0}"/>
            </c:ext>
          </c:extLst>
        </c:ser>
        <c:ser>
          <c:idx val="11"/>
          <c:order val="11"/>
          <c:tx>
            <c:strRef>
              <c:f>Sheet1!$N$4:$N$6</c:f>
              <c:strCache>
                <c:ptCount val="1"/>
                <c:pt idx="0">
                  <c:v>Idle - TECH04</c:v>
                </c:pt>
              </c:strCache>
            </c:strRef>
          </c:tx>
          <c:dPt>
            <c:idx val="0"/>
            <c:bubble3D val="0"/>
            <c:spPr>
              <a:solidFill>
                <a:schemeClr val="accent1"/>
              </a:solidFill>
              <a:ln>
                <a:noFill/>
              </a:ln>
              <a:effectLst/>
              <a:sp3d/>
            </c:spPr>
            <c:extLst>
              <c:ext xmlns:c16="http://schemas.microsoft.com/office/drawing/2014/chart" uri="{C3380CC4-5D6E-409C-BE32-E72D297353CC}">
                <c16:uniqueId val="{0000011F-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21-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23-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25-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27-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29-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2B-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2D-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2F-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31-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33-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35-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37-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A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A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A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A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A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Sheet1!$N$7:$N$25</c:f>
              <c:numCache>
                <c:formatCode>General</c:formatCode>
                <c:ptCount val="18"/>
                <c:pt idx="0">
                  <c:v>1</c:v>
                </c:pt>
                <c:pt idx="7">
                  <c:v>1</c:v>
                </c:pt>
                <c:pt idx="8">
                  <c:v>1</c:v>
                </c:pt>
              </c:numCache>
            </c:numRef>
          </c:val>
          <c:extLst>
            <c:ext xmlns:c16="http://schemas.microsoft.com/office/drawing/2014/chart" uri="{C3380CC4-5D6E-409C-BE32-E72D297353CC}">
              <c16:uniqueId val="{00000069-A013-46D4-B6C0-1BAFA3A0D1E0}"/>
            </c:ext>
          </c:extLst>
        </c:ser>
        <c:ser>
          <c:idx val="12"/>
          <c:order val="12"/>
          <c:tx>
            <c:strRef>
              <c:f>Sheet1!$O$4:$O$6</c:f>
              <c:strCache>
                <c:ptCount val="1"/>
                <c:pt idx="0">
                  <c:v>Idle - TECH05</c:v>
                </c:pt>
              </c:strCache>
            </c:strRef>
          </c:tx>
          <c:dPt>
            <c:idx val="0"/>
            <c:bubble3D val="0"/>
            <c:spPr>
              <a:solidFill>
                <a:schemeClr val="accent1"/>
              </a:solidFill>
              <a:ln>
                <a:noFill/>
              </a:ln>
              <a:effectLst/>
              <a:sp3d/>
            </c:spPr>
            <c:extLst>
              <c:ext xmlns:c16="http://schemas.microsoft.com/office/drawing/2014/chart" uri="{C3380CC4-5D6E-409C-BE32-E72D297353CC}">
                <c16:uniqueId val="{00000139-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3B-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3D-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3F-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41-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43-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45-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47-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49-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4B-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4D-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4F-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51-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C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C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C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D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D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Sheet1!$O$7:$O$25</c:f>
              <c:numCache>
                <c:formatCode>General</c:formatCode>
                <c:ptCount val="18"/>
                <c:pt idx="0">
                  <c:v>2</c:v>
                </c:pt>
                <c:pt idx="7">
                  <c:v>1</c:v>
                </c:pt>
                <c:pt idx="9">
                  <c:v>2</c:v>
                </c:pt>
                <c:pt idx="11">
                  <c:v>1</c:v>
                </c:pt>
                <c:pt idx="12">
                  <c:v>1</c:v>
                </c:pt>
              </c:numCache>
            </c:numRef>
          </c:val>
          <c:extLst>
            <c:ext xmlns:c16="http://schemas.microsoft.com/office/drawing/2014/chart" uri="{C3380CC4-5D6E-409C-BE32-E72D297353CC}">
              <c16:uniqueId val="{0000006A-A013-46D4-B6C0-1BAFA3A0D1E0}"/>
            </c:ext>
          </c:extLst>
        </c:ser>
        <c:ser>
          <c:idx val="13"/>
          <c:order val="13"/>
          <c:tx>
            <c:strRef>
              <c:f>Sheet1!$P$4:$P$6</c:f>
              <c:strCache>
                <c:ptCount val="1"/>
                <c:pt idx="0">
                  <c:v>Idle - TECH06</c:v>
                </c:pt>
              </c:strCache>
            </c:strRef>
          </c:tx>
          <c:dPt>
            <c:idx val="0"/>
            <c:bubble3D val="0"/>
            <c:spPr>
              <a:solidFill>
                <a:schemeClr val="accent1"/>
              </a:solidFill>
              <a:ln>
                <a:noFill/>
              </a:ln>
              <a:effectLst/>
              <a:sp3d/>
            </c:spPr>
            <c:extLst>
              <c:ext xmlns:c16="http://schemas.microsoft.com/office/drawing/2014/chart" uri="{C3380CC4-5D6E-409C-BE32-E72D297353CC}">
                <c16:uniqueId val="{00000153-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55-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57-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59-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5B-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5D-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5F-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61-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63-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65-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67-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69-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6B-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1E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1F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1F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1F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1F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Sheet1!$P$7:$P$25</c:f>
              <c:numCache>
                <c:formatCode>General</c:formatCode>
                <c:ptCount val="18"/>
                <c:pt idx="7">
                  <c:v>1</c:v>
                </c:pt>
                <c:pt idx="10">
                  <c:v>1</c:v>
                </c:pt>
                <c:pt idx="11">
                  <c:v>2</c:v>
                </c:pt>
                <c:pt idx="12">
                  <c:v>3</c:v>
                </c:pt>
              </c:numCache>
            </c:numRef>
          </c:val>
          <c:extLst>
            <c:ext xmlns:c16="http://schemas.microsoft.com/office/drawing/2014/chart" uri="{C3380CC4-5D6E-409C-BE32-E72D297353CC}">
              <c16:uniqueId val="{0000006B-A013-46D4-B6C0-1BAFA3A0D1E0}"/>
            </c:ext>
          </c:extLst>
        </c:ser>
        <c:ser>
          <c:idx val="14"/>
          <c:order val="14"/>
          <c:tx>
            <c:strRef>
              <c:f>Sheet1!$Q$4:$Q$6</c:f>
              <c:strCache>
                <c:ptCount val="1"/>
                <c:pt idx="0">
                  <c:v>Idle - TECH07</c:v>
                </c:pt>
              </c:strCache>
            </c:strRef>
          </c:tx>
          <c:dPt>
            <c:idx val="0"/>
            <c:bubble3D val="0"/>
            <c:spPr>
              <a:solidFill>
                <a:schemeClr val="accent1"/>
              </a:solidFill>
              <a:ln>
                <a:noFill/>
              </a:ln>
              <a:effectLst/>
              <a:sp3d/>
            </c:spPr>
            <c:extLst>
              <c:ext xmlns:c16="http://schemas.microsoft.com/office/drawing/2014/chart" uri="{C3380CC4-5D6E-409C-BE32-E72D297353CC}">
                <c16:uniqueId val="{0000016D-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6F-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71-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73-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75-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77-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79-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7B-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7D-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7F-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81-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83-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85-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1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1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1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1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1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Sheet1!$Q$7:$Q$25</c:f>
              <c:numCache>
                <c:formatCode>General</c:formatCode>
                <c:ptCount val="18"/>
                <c:pt idx="7">
                  <c:v>1</c:v>
                </c:pt>
                <c:pt idx="8">
                  <c:v>1</c:v>
                </c:pt>
                <c:pt idx="9">
                  <c:v>2</c:v>
                </c:pt>
                <c:pt idx="11">
                  <c:v>1</c:v>
                </c:pt>
                <c:pt idx="12">
                  <c:v>1</c:v>
                </c:pt>
              </c:numCache>
            </c:numRef>
          </c:val>
          <c:extLst>
            <c:ext xmlns:c16="http://schemas.microsoft.com/office/drawing/2014/chart" uri="{C3380CC4-5D6E-409C-BE32-E72D297353CC}">
              <c16:uniqueId val="{0000006C-A013-46D4-B6C0-1BAFA3A0D1E0}"/>
            </c:ext>
          </c:extLst>
        </c:ser>
        <c:ser>
          <c:idx val="15"/>
          <c:order val="15"/>
          <c:tx>
            <c:strRef>
              <c:f>Sheet1!$R$4:$R$6</c:f>
              <c:strCache>
                <c:ptCount val="1"/>
                <c:pt idx="0">
                  <c:v>Idle - TECH08</c:v>
                </c:pt>
              </c:strCache>
            </c:strRef>
          </c:tx>
          <c:dPt>
            <c:idx val="0"/>
            <c:bubble3D val="0"/>
            <c:spPr>
              <a:solidFill>
                <a:schemeClr val="accent1"/>
              </a:solidFill>
              <a:ln>
                <a:noFill/>
              </a:ln>
              <a:effectLst/>
              <a:sp3d/>
            </c:spPr>
            <c:extLst>
              <c:ext xmlns:c16="http://schemas.microsoft.com/office/drawing/2014/chart" uri="{C3380CC4-5D6E-409C-BE32-E72D297353CC}">
                <c16:uniqueId val="{00000187-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89-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8B-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8D-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8F-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91-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93-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95-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97-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99-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9B-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9D-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9F-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3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3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3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3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3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Sheet1!$R$7:$R$25</c:f>
              <c:numCache>
                <c:formatCode>General</c:formatCode>
                <c:ptCount val="18"/>
                <c:pt idx="0">
                  <c:v>1</c:v>
                </c:pt>
                <c:pt idx="7">
                  <c:v>1</c:v>
                </c:pt>
                <c:pt idx="8">
                  <c:v>1</c:v>
                </c:pt>
                <c:pt idx="9">
                  <c:v>1</c:v>
                </c:pt>
                <c:pt idx="10">
                  <c:v>1</c:v>
                </c:pt>
                <c:pt idx="12">
                  <c:v>2</c:v>
                </c:pt>
              </c:numCache>
            </c:numRef>
          </c:val>
          <c:extLst>
            <c:ext xmlns:c16="http://schemas.microsoft.com/office/drawing/2014/chart" uri="{C3380CC4-5D6E-409C-BE32-E72D297353CC}">
              <c16:uniqueId val="{0000006D-A013-46D4-B6C0-1BAFA3A0D1E0}"/>
            </c:ext>
          </c:extLst>
        </c:ser>
        <c:ser>
          <c:idx val="16"/>
          <c:order val="16"/>
          <c:tx>
            <c:strRef>
              <c:f>Sheet1!$T$4:$T$6</c:f>
              <c:strCache>
                <c:ptCount val="1"/>
                <c:pt idx="0">
                  <c:v>Under Repair - TECH01</c:v>
                </c:pt>
              </c:strCache>
            </c:strRef>
          </c:tx>
          <c:dPt>
            <c:idx val="0"/>
            <c:bubble3D val="0"/>
            <c:spPr>
              <a:solidFill>
                <a:schemeClr val="accent1"/>
              </a:solidFill>
              <a:ln>
                <a:noFill/>
              </a:ln>
              <a:effectLst/>
              <a:sp3d/>
            </c:spPr>
            <c:extLst>
              <c:ext xmlns:c16="http://schemas.microsoft.com/office/drawing/2014/chart" uri="{C3380CC4-5D6E-409C-BE32-E72D297353CC}">
                <c16:uniqueId val="{000001A1-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A3-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A5-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A7-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A9-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AB-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AD-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AF-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B1-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B3-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B5-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B7-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B9-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5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5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5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6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6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Sheet1!$T$7:$T$25</c:f>
              <c:numCache>
                <c:formatCode>General</c:formatCode>
                <c:ptCount val="18"/>
                <c:pt idx="0">
                  <c:v>2</c:v>
                </c:pt>
                <c:pt idx="7">
                  <c:v>1</c:v>
                </c:pt>
                <c:pt idx="8">
                  <c:v>1</c:v>
                </c:pt>
                <c:pt idx="9">
                  <c:v>3</c:v>
                </c:pt>
                <c:pt idx="11">
                  <c:v>2</c:v>
                </c:pt>
                <c:pt idx="12">
                  <c:v>2</c:v>
                </c:pt>
              </c:numCache>
            </c:numRef>
          </c:val>
          <c:extLst>
            <c:ext xmlns:c16="http://schemas.microsoft.com/office/drawing/2014/chart" uri="{C3380CC4-5D6E-409C-BE32-E72D297353CC}">
              <c16:uniqueId val="{0000006E-A013-46D4-B6C0-1BAFA3A0D1E0}"/>
            </c:ext>
          </c:extLst>
        </c:ser>
        <c:ser>
          <c:idx val="17"/>
          <c:order val="17"/>
          <c:tx>
            <c:strRef>
              <c:f>Sheet1!$U$4:$U$6</c:f>
              <c:strCache>
                <c:ptCount val="1"/>
                <c:pt idx="0">
                  <c:v>Under Repair - TECH02</c:v>
                </c:pt>
              </c:strCache>
            </c:strRef>
          </c:tx>
          <c:dPt>
            <c:idx val="0"/>
            <c:bubble3D val="0"/>
            <c:spPr>
              <a:solidFill>
                <a:schemeClr val="accent1"/>
              </a:solidFill>
              <a:ln>
                <a:noFill/>
              </a:ln>
              <a:effectLst/>
              <a:sp3d/>
            </c:spPr>
            <c:extLst>
              <c:ext xmlns:c16="http://schemas.microsoft.com/office/drawing/2014/chart" uri="{C3380CC4-5D6E-409C-BE32-E72D297353CC}">
                <c16:uniqueId val="{000001BB-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BD-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BF-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C1-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C3-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C5-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C7-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C9-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CB-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CD-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CF-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D1-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D3-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7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8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8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8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8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Sheet1!$U$7:$U$25</c:f>
              <c:numCache>
                <c:formatCode>General</c:formatCode>
                <c:ptCount val="18"/>
                <c:pt idx="0">
                  <c:v>3</c:v>
                </c:pt>
                <c:pt idx="7">
                  <c:v>1</c:v>
                </c:pt>
                <c:pt idx="9">
                  <c:v>2</c:v>
                </c:pt>
                <c:pt idx="10">
                  <c:v>4</c:v>
                </c:pt>
                <c:pt idx="11">
                  <c:v>2</c:v>
                </c:pt>
                <c:pt idx="12">
                  <c:v>1</c:v>
                </c:pt>
              </c:numCache>
            </c:numRef>
          </c:val>
          <c:extLst>
            <c:ext xmlns:c16="http://schemas.microsoft.com/office/drawing/2014/chart" uri="{C3380CC4-5D6E-409C-BE32-E72D297353CC}">
              <c16:uniqueId val="{0000006F-A013-46D4-B6C0-1BAFA3A0D1E0}"/>
            </c:ext>
          </c:extLst>
        </c:ser>
        <c:ser>
          <c:idx val="18"/>
          <c:order val="18"/>
          <c:tx>
            <c:strRef>
              <c:f>Sheet1!$V$4:$V$6</c:f>
              <c:strCache>
                <c:ptCount val="1"/>
                <c:pt idx="0">
                  <c:v>Under Repair - TECH03</c:v>
                </c:pt>
              </c:strCache>
            </c:strRef>
          </c:tx>
          <c:dPt>
            <c:idx val="0"/>
            <c:bubble3D val="0"/>
            <c:spPr>
              <a:solidFill>
                <a:schemeClr val="accent1"/>
              </a:solidFill>
              <a:ln>
                <a:noFill/>
              </a:ln>
              <a:effectLst/>
              <a:sp3d/>
            </c:spPr>
            <c:extLst>
              <c:ext xmlns:c16="http://schemas.microsoft.com/office/drawing/2014/chart" uri="{C3380CC4-5D6E-409C-BE32-E72D297353CC}">
                <c16:uniqueId val="{000001D5-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D7-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D9-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DB-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DD-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DF-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E1-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E3-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E5-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1E7-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1E9-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1EB-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1ED-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A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A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A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A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A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Sheet1!$V$7:$V$25</c:f>
              <c:numCache>
                <c:formatCode>General</c:formatCode>
                <c:ptCount val="18"/>
                <c:pt idx="0">
                  <c:v>2</c:v>
                </c:pt>
                <c:pt idx="7">
                  <c:v>2</c:v>
                </c:pt>
                <c:pt idx="8">
                  <c:v>2</c:v>
                </c:pt>
                <c:pt idx="9">
                  <c:v>1</c:v>
                </c:pt>
                <c:pt idx="10">
                  <c:v>3</c:v>
                </c:pt>
                <c:pt idx="11">
                  <c:v>1</c:v>
                </c:pt>
                <c:pt idx="12">
                  <c:v>1</c:v>
                </c:pt>
              </c:numCache>
            </c:numRef>
          </c:val>
          <c:extLst>
            <c:ext xmlns:c16="http://schemas.microsoft.com/office/drawing/2014/chart" uri="{C3380CC4-5D6E-409C-BE32-E72D297353CC}">
              <c16:uniqueId val="{00000070-A013-46D4-B6C0-1BAFA3A0D1E0}"/>
            </c:ext>
          </c:extLst>
        </c:ser>
        <c:ser>
          <c:idx val="19"/>
          <c:order val="19"/>
          <c:tx>
            <c:strRef>
              <c:f>Sheet1!$W$4:$W$6</c:f>
              <c:strCache>
                <c:ptCount val="1"/>
                <c:pt idx="0">
                  <c:v>Under Repair - TECH04</c:v>
                </c:pt>
              </c:strCache>
            </c:strRef>
          </c:tx>
          <c:dPt>
            <c:idx val="0"/>
            <c:bubble3D val="0"/>
            <c:spPr>
              <a:solidFill>
                <a:schemeClr val="accent1"/>
              </a:solidFill>
              <a:ln>
                <a:noFill/>
              </a:ln>
              <a:effectLst/>
              <a:sp3d/>
            </c:spPr>
            <c:extLst>
              <c:ext xmlns:c16="http://schemas.microsoft.com/office/drawing/2014/chart" uri="{C3380CC4-5D6E-409C-BE32-E72D297353CC}">
                <c16:uniqueId val="{000001EF-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1F1-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1F3-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1F5-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1F7-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1F9-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1FB-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1FD-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1FF-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201-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203-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205-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207-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C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C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C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C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C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Sheet1!$W$7:$W$25</c:f>
              <c:numCache>
                <c:formatCode>General</c:formatCode>
                <c:ptCount val="18"/>
                <c:pt idx="0">
                  <c:v>2</c:v>
                </c:pt>
                <c:pt idx="7">
                  <c:v>2</c:v>
                </c:pt>
                <c:pt idx="8">
                  <c:v>1</c:v>
                </c:pt>
                <c:pt idx="9">
                  <c:v>2</c:v>
                </c:pt>
                <c:pt idx="10">
                  <c:v>2</c:v>
                </c:pt>
                <c:pt idx="12">
                  <c:v>1</c:v>
                </c:pt>
              </c:numCache>
            </c:numRef>
          </c:val>
          <c:extLst>
            <c:ext xmlns:c16="http://schemas.microsoft.com/office/drawing/2014/chart" uri="{C3380CC4-5D6E-409C-BE32-E72D297353CC}">
              <c16:uniqueId val="{00000071-A013-46D4-B6C0-1BAFA3A0D1E0}"/>
            </c:ext>
          </c:extLst>
        </c:ser>
        <c:ser>
          <c:idx val="20"/>
          <c:order val="20"/>
          <c:tx>
            <c:strRef>
              <c:f>Sheet1!$X$4:$X$6</c:f>
              <c:strCache>
                <c:ptCount val="1"/>
                <c:pt idx="0">
                  <c:v>Under Repair - TECH05</c:v>
                </c:pt>
              </c:strCache>
            </c:strRef>
          </c:tx>
          <c:dPt>
            <c:idx val="0"/>
            <c:bubble3D val="0"/>
            <c:spPr>
              <a:solidFill>
                <a:schemeClr val="accent1"/>
              </a:solidFill>
              <a:ln>
                <a:noFill/>
              </a:ln>
              <a:effectLst/>
              <a:sp3d/>
            </c:spPr>
            <c:extLst>
              <c:ext xmlns:c16="http://schemas.microsoft.com/office/drawing/2014/chart" uri="{C3380CC4-5D6E-409C-BE32-E72D297353CC}">
                <c16:uniqueId val="{00000209-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20B-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20D-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20F-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211-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213-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215-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217-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219-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21B-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21D-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21F-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221-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2EB-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2ED-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2EF-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2F1-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2F3-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Sheet1!$X$7:$X$25</c:f>
              <c:numCache>
                <c:formatCode>General</c:formatCode>
                <c:ptCount val="18"/>
                <c:pt idx="0">
                  <c:v>2</c:v>
                </c:pt>
                <c:pt idx="7">
                  <c:v>1</c:v>
                </c:pt>
                <c:pt idx="8">
                  <c:v>2</c:v>
                </c:pt>
                <c:pt idx="9">
                  <c:v>2</c:v>
                </c:pt>
                <c:pt idx="10">
                  <c:v>4</c:v>
                </c:pt>
                <c:pt idx="11">
                  <c:v>1</c:v>
                </c:pt>
                <c:pt idx="12">
                  <c:v>4</c:v>
                </c:pt>
              </c:numCache>
            </c:numRef>
          </c:val>
          <c:extLst>
            <c:ext xmlns:c16="http://schemas.microsoft.com/office/drawing/2014/chart" uri="{C3380CC4-5D6E-409C-BE32-E72D297353CC}">
              <c16:uniqueId val="{00000072-A013-46D4-B6C0-1BAFA3A0D1E0}"/>
            </c:ext>
          </c:extLst>
        </c:ser>
        <c:ser>
          <c:idx val="21"/>
          <c:order val="21"/>
          <c:tx>
            <c:strRef>
              <c:f>Sheet1!$Y$4:$Y$6</c:f>
              <c:strCache>
                <c:ptCount val="1"/>
                <c:pt idx="0">
                  <c:v>Under Repair - TECH06</c:v>
                </c:pt>
              </c:strCache>
            </c:strRef>
          </c:tx>
          <c:dPt>
            <c:idx val="0"/>
            <c:bubble3D val="0"/>
            <c:spPr>
              <a:solidFill>
                <a:schemeClr val="accent1"/>
              </a:solidFill>
              <a:ln>
                <a:noFill/>
              </a:ln>
              <a:effectLst/>
              <a:sp3d/>
            </c:spPr>
            <c:extLst>
              <c:ext xmlns:c16="http://schemas.microsoft.com/office/drawing/2014/chart" uri="{C3380CC4-5D6E-409C-BE32-E72D297353CC}">
                <c16:uniqueId val="{00000223-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225-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227-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229-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22B-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22D-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22F-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231-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233-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235-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237-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239-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23B-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30F-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311-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313-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315-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317-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Sheet1!$Y$7:$Y$25</c:f>
              <c:numCache>
                <c:formatCode>General</c:formatCode>
                <c:ptCount val="18"/>
                <c:pt idx="0">
                  <c:v>2</c:v>
                </c:pt>
                <c:pt idx="7">
                  <c:v>3</c:v>
                </c:pt>
                <c:pt idx="8">
                  <c:v>1</c:v>
                </c:pt>
                <c:pt idx="9">
                  <c:v>4</c:v>
                </c:pt>
                <c:pt idx="10">
                  <c:v>3</c:v>
                </c:pt>
                <c:pt idx="11">
                  <c:v>1</c:v>
                </c:pt>
                <c:pt idx="12">
                  <c:v>2</c:v>
                </c:pt>
              </c:numCache>
            </c:numRef>
          </c:val>
          <c:extLst>
            <c:ext xmlns:c16="http://schemas.microsoft.com/office/drawing/2014/chart" uri="{C3380CC4-5D6E-409C-BE32-E72D297353CC}">
              <c16:uniqueId val="{00000073-A013-46D4-B6C0-1BAFA3A0D1E0}"/>
            </c:ext>
          </c:extLst>
        </c:ser>
        <c:ser>
          <c:idx val="22"/>
          <c:order val="22"/>
          <c:tx>
            <c:strRef>
              <c:f>Sheet1!$Z$4:$Z$6</c:f>
              <c:strCache>
                <c:ptCount val="1"/>
                <c:pt idx="0">
                  <c:v>Under Repair - TECH07</c:v>
                </c:pt>
              </c:strCache>
            </c:strRef>
          </c:tx>
          <c:dPt>
            <c:idx val="0"/>
            <c:bubble3D val="0"/>
            <c:spPr>
              <a:solidFill>
                <a:schemeClr val="accent1"/>
              </a:solidFill>
              <a:ln>
                <a:noFill/>
              </a:ln>
              <a:effectLst/>
              <a:sp3d/>
            </c:spPr>
            <c:extLst>
              <c:ext xmlns:c16="http://schemas.microsoft.com/office/drawing/2014/chart" uri="{C3380CC4-5D6E-409C-BE32-E72D297353CC}">
                <c16:uniqueId val="{0000023D-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23F-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241-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243-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245-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247-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249-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24B-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24D-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24F-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251-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253-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255-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333-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335-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337-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339-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33B-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Sheet1!$Z$7:$Z$25</c:f>
              <c:numCache>
                <c:formatCode>General</c:formatCode>
                <c:ptCount val="18"/>
                <c:pt idx="0">
                  <c:v>3</c:v>
                </c:pt>
                <c:pt idx="7">
                  <c:v>3</c:v>
                </c:pt>
                <c:pt idx="8">
                  <c:v>1</c:v>
                </c:pt>
                <c:pt idx="9">
                  <c:v>1</c:v>
                </c:pt>
                <c:pt idx="10">
                  <c:v>2</c:v>
                </c:pt>
                <c:pt idx="11">
                  <c:v>2</c:v>
                </c:pt>
                <c:pt idx="12">
                  <c:v>2</c:v>
                </c:pt>
              </c:numCache>
            </c:numRef>
          </c:val>
          <c:extLst>
            <c:ext xmlns:c16="http://schemas.microsoft.com/office/drawing/2014/chart" uri="{C3380CC4-5D6E-409C-BE32-E72D297353CC}">
              <c16:uniqueId val="{00000074-A013-46D4-B6C0-1BAFA3A0D1E0}"/>
            </c:ext>
          </c:extLst>
        </c:ser>
        <c:ser>
          <c:idx val="23"/>
          <c:order val="23"/>
          <c:tx>
            <c:strRef>
              <c:f>Sheet1!$AA$4:$AA$6</c:f>
              <c:strCache>
                <c:ptCount val="1"/>
                <c:pt idx="0">
                  <c:v>Under Repair - TECH08</c:v>
                </c:pt>
              </c:strCache>
            </c:strRef>
          </c:tx>
          <c:dPt>
            <c:idx val="0"/>
            <c:bubble3D val="0"/>
            <c:spPr>
              <a:solidFill>
                <a:schemeClr val="accent1"/>
              </a:solidFill>
              <a:ln>
                <a:noFill/>
              </a:ln>
              <a:effectLst/>
              <a:sp3d/>
            </c:spPr>
            <c:extLst>
              <c:ext xmlns:c16="http://schemas.microsoft.com/office/drawing/2014/chart" uri="{C3380CC4-5D6E-409C-BE32-E72D297353CC}">
                <c16:uniqueId val="{00000257-DD83-42A5-9A61-573ABF5D18E8}"/>
              </c:ext>
            </c:extLst>
          </c:dPt>
          <c:dPt>
            <c:idx val="1"/>
            <c:bubble3D val="0"/>
            <c:spPr>
              <a:solidFill>
                <a:schemeClr val="accent2"/>
              </a:solidFill>
              <a:ln>
                <a:noFill/>
              </a:ln>
              <a:effectLst/>
              <a:sp3d/>
            </c:spPr>
            <c:extLst>
              <c:ext xmlns:c16="http://schemas.microsoft.com/office/drawing/2014/chart" uri="{C3380CC4-5D6E-409C-BE32-E72D297353CC}">
                <c16:uniqueId val="{00000259-DD83-42A5-9A61-573ABF5D18E8}"/>
              </c:ext>
            </c:extLst>
          </c:dPt>
          <c:dPt>
            <c:idx val="2"/>
            <c:bubble3D val="0"/>
            <c:spPr>
              <a:solidFill>
                <a:schemeClr val="accent3"/>
              </a:solidFill>
              <a:ln>
                <a:noFill/>
              </a:ln>
              <a:effectLst/>
              <a:sp3d/>
            </c:spPr>
            <c:extLst>
              <c:ext xmlns:c16="http://schemas.microsoft.com/office/drawing/2014/chart" uri="{C3380CC4-5D6E-409C-BE32-E72D297353CC}">
                <c16:uniqueId val="{0000025B-DD83-42A5-9A61-573ABF5D18E8}"/>
              </c:ext>
            </c:extLst>
          </c:dPt>
          <c:dPt>
            <c:idx val="3"/>
            <c:bubble3D val="0"/>
            <c:spPr>
              <a:solidFill>
                <a:schemeClr val="accent4"/>
              </a:solidFill>
              <a:ln>
                <a:noFill/>
              </a:ln>
              <a:effectLst/>
              <a:sp3d/>
            </c:spPr>
            <c:extLst>
              <c:ext xmlns:c16="http://schemas.microsoft.com/office/drawing/2014/chart" uri="{C3380CC4-5D6E-409C-BE32-E72D297353CC}">
                <c16:uniqueId val="{0000025D-DD83-42A5-9A61-573ABF5D18E8}"/>
              </c:ext>
            </c:extLst>
          </c:dPt>
          <c:dPt>
            <c:idx val="4"/>
            <c:bubble3D val="0"/>
            <c:spPr>
              <a:solidFill>
                <a:schemeClr val="accent5"/>
              </a:solidFill>
              <a:ln>
                <a:noFill/>
              </a:ln>
              <a:effectLst/>
              <a:sp3d/>
            </c:spPr>
            <c:extLst>
              <c:ext xmlns:c16="http://schemas.microsoft.com/office/drawing/2014/chart" uri="{C3380CC4-5D6E-409C-BE32-E72D297353CC}">
                <c16:uniqueId val="{0000025F-DD83-42A5-9A61-573ABF5D18E8}"/>
              </c:ext>
            </c:extLst>
          </c:dPt>
          <c:dPt>
            <c:idx val="5"/>
            <c:bubble3D val="0"/>
            <c:spPr>
              <a:solidFill>
                <a:schemeClr val="accent6"/>
              </a:solidFill>
              <a:ln>
                <a:noFill/>
              </a:ln>
              <a:effectLst/>
              <a:sp3d/>
            </c:spPr>
            <c:extLst>
              <c:ext xmlns:c16="http://schemas.microsoft.com/office/drawing/2014/chart" uri="{C3380CC4-5D6E-409C-BE32-E72D297353CC}">
                <c16:uniqueId val="{00000261-DD83-42A5-9A61-573ABF5D18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263-DD83-42A5-9A61-573ABF5D18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265-DD83-42A5-9A61-573ABF5D18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267-DD83-42A5-9A61-573ABF5D18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269-DD83-42A5-9A61-573ABF5D18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26B-DD83-42A5-9A61-573ABF5D18E8}"/>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26D-DD83-42A5-9A61-573ABF5D18E8}"/>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26F-DD83-42A5-9A61-573ABF5D18E8}"/>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357-31F1-4A1C-8686-0E038D7E5E32}"/>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359-31F1-4A1C-8686-0E038D7E5E32}"/>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35B-31F1-4A1C-8686-0E038D7E5E32}"/>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35D-31F1-4A1C-8686-0E038D7E5E32}"/>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35F-31F1-4A1C-8686-0E038D7E5E32}"/>
              </c:ext>
            </c:extLst>
          </c:dPt>
          <c:cat>
            <c:strRef>
              <c:f>Sheet1!$A$7:$A$25</c:f>
              <c:strCache>
                <c:ptCount val="18"/>
                <c:pt idx="0">
                  <c:v>Cardiology</c:v>
                </c:pt>
                <c:pt idx="1">
                  <c:v>Formula1</c:v>
                </c:pt>
                <c:pt idx="2">
                  <c:v>Formula2</c:v>
                </c:pt>
                <c:pt idx="3">
                  <c:v>Formula3</c:v>
                </c:pt>
                <c:pt idx="4">
                  <c:v>Formula4</c:v>
                </c:pt>
                <c:pt idx="5">
                  <c:v>Formula5</c:v>
                </c:pt>
                <c:pt idx="6">
                  <c:v>Formula6</c:v>
                </c:pt>
                <c:pt idx="7">
                  <c:v>Emergency</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Sheet1!$AA$7:$AA$25</c:f>
              <c:numCache>
                <c:formatCode>General</c:formatCode>
                <c:ptCount val="18"/>
                <c:pt idx="0">
                  <c:v>5</c:v>
                </c:pt>
                <c:pt idx="7">
                  <c:v>1</c:v>
                </c:pt>
                <c:pt idx="8">
                  <c:v>2</c:v>
                </c:pt>
                <c:pt idx="9">
                  <c:v>1</c:v>
                </c:pt>
                <c:pt idx="10">
                  <c:v>2</c:v>
                </c:pt>
                <c:pt idx="11">
                  <c:v>2</c:v>
                </c:pt>
              </c:numCache>
            </c:numRef>
          </c:val>
          <c:extLst>
            <c:ext xmlns:c16="http://schemas.microsoft.com/office/drawing/2014/chart" uri="{C3380CC4-5D6E-409C-BE32-E72D297353CC}">
              <c16:uniqueId val="{00000075-A013-46D4-B6C0-1BAFA3A0D1E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[Hospital_Equipment_Analysis.csv.xlsx]Equipment Runtime !PivotTable2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9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9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7"/>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09"/>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0"/>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1"/>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2"/>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3"/>
        <c:spPr>
          <a:solidFill>
            <a:schemeClr val="accent4"/>
          </a:solidFill>
          <a:ln w="19050">
            <a:solidFill>
              <a:schemeClr val="lt1"/>
            </a:solidFill>
          </a:ln>
          <a:effectLst/>
        </c:spPr>
        <c:marker>
          <c:spPr>
            <a:solidFill>
              <a:schemeClr val="accent4"/>
            </a:solidFill>
            <a:ln w="9525">
              <a:solidFill>
                <a:schemeClr val="lt1"/>
              </a:solidFill>
            </a:ln>
            <a:effectLst/>
          </c:spPr>
        </c:marker>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6"/>
        <c:spPr>
          <a:solidFill>
            <a:schemeClr val="accent4"/>
          </a:solidFill>
          <a:ln w="19050">
            <a:solidFill>
              <a:schemeClr val="lt1"/>
            </a:solidFill>
          </a:ln>
          <a:effectLst/>
        </c:spPr>
        <c:marker>
          <c:symbol val="none"/>
        </c:marker>
      </c:pivotFmt>
      <c:pivotFmt>
        <c:idx val="1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4"/>
          </a:solidFill>
          <a:ln w="19050">
            <a:solidFill>
              <a:schemeClr val="lt1"/>
            </a:solidFill>
          </a:ln>
          <a:effectLst/>
        </c:spPr>
        <c:marker>
          <c:symbol val="none"/>
        </c:marker>
      </c:pivotFmt>
      <c:pivotFmt>
        <c:idx val="202"/>
        <c:spPr>
          <a:solidFill>
            <a:schemeClr val="accent4"/>
          </a:solidFill>
          <a:ln w="19050">
            <a:solidFill>
              <a:schemeClr val="lt1"/>
            </a:solidFill>
          </a:ln>
          <a:effectLst/>
        </c:spPr>
        <c:marker>
          <c:symbol val="none"/>
        </c:marker>
      </c:pivotFmt>
      <c:pivotFmt>
        <c:idx val="203"/>
        <c:spPr>
          <a:solidFill>
            <a:schemeClr val="accent4"/>
          </a:solidFill>
          <a:ln w="19050">
            <a:solidFill>
              <a:schemeClr val="lt1"/>
            </a:solidFill>
          </a:ln>
          <a:effectLst/>
        </c:spPr>
        <c:marker>
          <c:symbol val="none"/>
        </c:marker>
      </c:pivotFmt>
      <c:pivotFmt>
        <c:idx val="20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4"/>
          </a:solidFill>
          <a:ln w="19050">
            <a:solidFill>
              <a:schemeClr val="lt1"/>
            </a:solidFill>
          </a:ln>
          <a:effectLst/>
        </c:spPr>
        <c:marker>
          <c:symbol val="none"/>
        </c:marker>
      </c:pivotFmt>
      <c:pivotFmt>
        <c:idx val="210"/>
        <c:spPr>
          <a:solidFill>
            <a:schemeClr val="accent4"/>
          </a:solidFill>
          <a:ln w="19050">
            <a:solidFill>
              <a:schemeClr val="lt1"/>
            </a:solidFill>
          </a:ln>
          <a:effectLst/>
        </c:spPr>
        <c:marker>
          <c:symbol val="none"/>
        </c:marker>
      </c:pivotFmt>
      <c:pivotFmt>
        <c:idx val="211"/>
        <c:spPr>
          <a:solidFill>
            <a:schemeClr val="accent4"/>
          </a:solidFill>
          <a:ln w="19050">
            <a:solidFill>
              <a:schemeClr val="lt1"/>
            </a:solidFill>
          </a:ln>
          <a:effectLst/>
        </c:spPr>
        <c:marker>
          <c:symbol val="none"/>
        </c:marker>
      </c:pivotFmt>
      <c:pivotFmt>
        <c:idx val="212"/>
        <c:spPr>
          <a:solidFill>
            <a:schemeClr val="accent4"/>
          </a:solidFill>
          <a:ln w="19050">
            <a:solidFill>
              <a:schemeClr val="lt1"/>
            </a:solidFill>
          </a:ln>
          <a:effectLst/>
        </c:spPr>
        <c:marker>
          <c:symbol val="none"/>
        </c:marker>
      </c:pivotFmt>
      <c:pivotFmt>
        <c:idx val="213"/>
        <c:spPr>
          <a:solidFill>
            <a:schemeClr val="accent4"/>
          </a:solidFill>
          <a:ln w="19050">
            <a:solidFill>
              <a:schemeClr val="lt1"/>
            </a:solidFill>
          </a:ln>
          <a:effectLst/>
        </c:spPr>
        <c:marker>
          <c:symbol val="none"/>
        </c:marker>
      </c:pivotFmt>
      <c:pivotFmt>
        <c:idx val="214"/>
        <c:spPr>
          <a:solidFill>
            <a:schemeClr val="accent4"/>
          </a:solidFill>
          <a:ln w="19050">
            <a:solidFill>
              <a:schemeClr val="lt1"/>
            </a:solidFill>
          </a:ln>
          <a:effectLst/>
        </c:spPr>
        <c:marker>
          <c:symbol val="none"/>
        </c:marker>
      </c:pivotFmt>
      <c:pivotFmt>
        <c:idx val="215"/>
        <c:spPr>
          <a:solidFill>
            <a:schemeClr val="accent4"/>
          </a:solidFill>
          <a:ln w="19050">
            <a:solidFill>
              <a:schemeClr val="lt1"/>
            </a:solidFill>
          </a:ln>
          <a:effectLst/>
        </c:spPr>
        <c:marker>
          <c:symbol val="none"/>
        </c:marker>
      </c:pivotFmt>
      <c:pivotFmt>
        <c:idx val="216"/>
        <c:spPr>
          <a:solidFill>
            <a:schemeClr val="accent4"/>
          </a:solidFill>
          <a:ln w="19050">
            <a:solidFill>
              <a:schemeClr val="lt1"/>
            </a:solidFill>
          </a:ln>
          <a:effectLst/>
        </c:spPr>
        <c:marker>
          <c:symbol val="none"/>
        </c:marker>
      </c:pivotFmt>
      <c:pivotFmt>
        <c:idx val="217"/>
        <c:spPr>
          <a:solidFill>
            <a:schemeClr val="accent4"/>
          </a:solidFill>
          <a:ln w="19050">
            <a:solidFill>
              <a:schemeClr val="lt1"/>
            </a:solidFill>
          </a:ln>
          <a:effectLst/>
        </c:spPr>
        <c:marker>
          <c:symbol val="none"/>
        </c:marker>
      </c:pivotFmt>
      <c:pivotFmt>
        <c:idx val="218"/>
        <c:spPr>
          <a:solidFill>
            <a:schemeClr val="accent4"/>
          </a:solidFill>
          <a:ln w="19050">
            <a:solidFill>
              <a:schemeClr val="lt1"/>
            </a:solidFill>
          </a:ln>
          <a:effectLst/>
        </c:spPr>
        <c:marker>
          <c:symbol val="none"/>
        </c:marker>
      </c:pivotFmt>
      <c:pivotFmt>
        <c:idx val="219"/>
        <c:spPr>
          <a:solidFill>
            <a:schemeClr val="accent4"/>
          </a:solidFill>
          <a:ln w="19050">
            <a:solidFill>
              <a:schemeClr val="lt1"/>
            </a:solidFill>
          </a:ln>
          <a:effectLst/>
        </c:spPr>
        <c:marker>
          <c:symbol val="none"/>
        </c:marker>
      </c:pivotFmt>
      <c:pivotFmt>
        <c:idx val="220"/>
        <c:spPr>
          <a:solidFill>
            <a:schemeClr val="accent4"/>
          </a:solidFill>
          <a:ln w="19050">
            <a:solidFill>
              <a:schemeClr val="lt1"/>
            </a:solidFill>
          </a:ln>
          <a:effectLst/>
        </c:spPr>
        <c:marker>
          <c:symbol val="none"/>
        </c:marker>
      </c:pivotFmt>
      <c:pivotFmt>
        <c:idx val="221"/>
        <c:spPr>
          <a:solidFill>
            <a:schemeClr val="accent4"/>
          </a:solidFill>
          <a:ln w="19050">
            <a:solidFill>
              <a:schemeClr val="lt1"/>
            </a:solidFill>
          </a:ln>
          <a:effectLst/>
        </c:spPr>
        <c:marker>
          <c:symbol val="none"/>
        </c:marker>
      </c:pivotFmt>
      <c:pivotFmt>
        <c:idx val="222"/>
        <c:spPr>
          <a:solidFill>
            <a:schemeClr val="accent4"/>
          </a:solidFill>
          <a:ln w="19050">
            <a:solidFill>
              <a:schemeClr val="lt1"/>
            </a:solidFill>
          </a:ln>
          <a:effectLst/>
        </c:spPr>
        <c:marker>
          <c:symbol val="none"/>
        </c:marker>
      </c:pivotFmt>
      <c:pivotFmt>
        <c:idx val="223"/>
        <c:spPr>
          <a:solidFill>
            <a:schemeClr val="accent4"/>
          </a:solidFill>
          <a:ln w="19050">
            <a:solidFill>
              <a:schemeClr val="lt1"/>
            </a:solidFill>
          </a:ln>
          <a:effectLst/>
        </c:spPr>
        <c:marker>
          <c:symbol val="none"/>
        </c:marker>
      </c:pivotFmt>
      <c:pivotFmt>
        <c:idx val="224"/>
        <c:spPr>
          <a:solidFill>
            <a:schemeClr val="accent4"/>
          </a:solidFill>
          <a:ln w="19050">
            <a:solidFill>
              <a:schemeClr val="lt1"/>
            </a:solidFill>
          </a:ln>
          <a:effectLst/>
        </c:spPr>
        <c:marker>
          <c:symbol val="none"/>
        </c:marker>
      </c:pivotFmt>
      <c:pivotFmt>
        <c:idx val="225"/>
        <c:spPr>
          <a:solidFill>
            <a:schemeClr val="accent4"/>
          </a:solidFill>
          <a:ln w="19050">
            <a:solidFill>
              <a:schemeClr val="lt1"/>
            </a:solidFill>
          </a:ln>
          <a:effectLst/>
        </c:spPr>
        <c:marker>
          <c:symbol val="none"/>
        </c:marker>
      </c:pivotFmt>
      <c:pivotFmt>
        <c:idx val="226"/>
        <c:spPr>
          <a:solidFill>
            <a:schemeClr val="accent4"/>
          </a:solidFill>
          <a:ln w="19050">
            <a:solidFill>
              <a:schemeClr val="lt1"/>
            </a:solidFill>
          </a:ln>
          <a:effectLst/>
        </c:spPr>
        <c:marker>
          <c:symbol val="none"/>
        </c:marker>
      </c:pivotFmt>
      <c:pivotFmt>
        <c:idx val="227"/>
        <c:spPr>
          <a:solidFill>
            <a:schemeClr val="accent4"/>
          </a:solidFill>
          <a:ln w="19050">
            <a:solidFill>
              <a:schemeClr val="lt1"/>
            </a:solidFill>
          </a:ln>
          <a:effectLst/>
        </c:spPr>
        <c:marker>
          <c:symbol val="none"/>
        </c:marker>
      </c:pivotFmt>
      <c:pivotFmt>
        <c:idx val="228"/>
        <c:spPr>
          <a:solidFill>
            <a:schemeClr val="accent4"/>
          </a:solidFill>
          <a:ln w="19050">
            <a:solidFill>
              <a:schemeClr val="lt1"/>
            </a:solidFill>
          </a:ln>
          <a:effectLst/>
        </c:spPr>
        <c:marker>
          <c:symbol val="none"/>
        </c:marker>
      </c:pivotFmt>
      <c:pivotFmt>
        <c:idx val="229"/>
        <c:spPr>
          <a:solidFill>
            <a:schemeClr val="accent4"/>
          </a:solidFill>
          <a:ln w="19050">
            <a:solidFill>
              <a:schemeClr val="lt1"/>
            </a:solidFill>
          </a:ln>
          <a:effectLst/>
        </c:spPr>
        <c:marker>
          <c:symbol val="none"/>
        </c:marker>
      </c:pivotFmt>
      <c:pivotFmt>
        <c:idx val="230"/>
        <c:spPr>
          <a:solidFill>
            <a:schemeClr val="accent4"/>
          </a:solidFill>
          <a:ln w="19050">
            <a:solidFill>
              <a:schemeClr val="lt1"/>
            </a:solidFill>
          </a:ln>
          <a:effectLst/>
        </c:spPr>
        <c:marker>
          <c:symbol val="none"/>
        </c:marker>
      </c:pivotFmt>
      <c:pivotFmt>
        <c:idx val="231"/>
        <c:spPr>
          <a:solidFill>
            <a:schemeClr val="accent4"/>
          </a:solidFill>
          <a:ln w="19050">
            <a:solidFill>
              <a:schemeClr val="lt1"/>
            </a:solidFill>
          </a:ln>
          <a:effectLst/>
        </c:spPr>
        <c:marker>
          <c:symbol val="none"/>
        </c:marker>
      </c:pivotFmt>
      <c:pivotFmt>
        <c:idx val="232"/>
        <c:spPr>
          <a:solidFill>
            <a:schemeClr val="accent4"/>
          </a:solidFill>
          <a:ln w="19050">
            <a:solidFill>
              <a:schemeClr val="lt1"/>
            </a:solidFill>
          </a:ln>
          <a:effectLst/>
        </c:spPr>
        <c:marker>
          <c:symbol val="none"/>
        </c:marker>
      </c:pivotFmt>
      <c:pivotFmt>
        <c:idx val="233"/>
        <c:spPr>
          <a:solidFill>
            <a:schemeClr val="accent4"/>
          </a:solidFill>
          <a:ln w="19050">
            <a:solidFill>
              <a:schemeClr val="lt1"/>
            </a:solidFill>
          </a:ln>
          <a:effectLst/>
        </c:spPr>
        <c:marker>
          <c:symbol val="none"/>
        </c:marker>
      </c:pivotFmt>
      <c:pivotFmt>
        <c:idx val="234"/>
        <c:spPr>
          <a:solidFill>
            <a:schemeClr val="accent4"/>
          </a:solidFill>
          <a:ln w="19050">
            <a:solidFill>
              <a:schemeClr val="lt1"/>
            </a:solidFill>
          </a:ln>
          <a:effectLst/>
        </c:spPr>
        <c:marker>
          <c:symbol val="none"/>
        </c:marker>
      </c:pivotFmt>
      <c:pivotFmt>
        <c:idx val="235"/>
        <c:spPr>
          <a:solidFill>
            <a:schemeClr val="accent4"/>
          </a:solidFill>
          <a:ln w="19050">
            <a:solidFill>
              <a:schemeClr val="lt1"/>
            </a:solidFill>
          </a:ln>
          <a:effectLst/>
        </c:spPr>
        <c:marker>
          <c:symbol val="none"/>
        </c:marker>
      </c:pivotFmt>
      <c:pivotFmt>
        <c:idx val="236"/>
        <c:spPr>
          <a:solidFill>
            <a:schemeClr val="accent4"/>
          </a:solidFill>
          <a:ln w="19050">
            <a:solidFill>
              <a:schemeClr val="lt1"/>
            </a:solidFill>
          </a:ln>
          <a:effectLst/>
        </c:spPr>
        <c:marker>
          <c:symbol val="none"/>
        </c:marker>
      </c:pivotFmt>
      <c:pivotFmt>
        <c:idx val="237"/>
        <c:spPr>
          <a:solidFill>
            <a:schemeClr val="accent4"/>
          </a:solidFill>
          <a:ln w="19050">
            <a:solidFill>
              <a:schemeClr val="lt1"/>
            </a:solidFill>
          </a:ln>
          <a:effectLst/>
        </c:spPr>
        <c:marker>
          <c:symbol val="none"/>
        </c:marker>
      </c:pivotFmt>
      <c:pivotFmt>
        <c:idx val="238"/>
        <c:spPr>
          <a:solidFill>
            <a:schemeClr val="accent4"/>
          </a:solidFill>
          <a:ln w="19050">
            <a:solidFill>
              <a:schemeClr val="lt1"/>
            </a:solidFill>
          </a:ln>
          <a:effectLst/>
        </c:spPr>
        <c:marker>
          <c:symbol val="none"/>
        </c:marker>
      </c:pivotFmt>
      <c:pivotFmt>
        <c:idx val="239"/>
        <c:spPr>
          <a:solidFill>
            <a:schemeClr val="accent4"/>
          </a:solidFill>
          <a:ln w="19050">
            <a:solidFill>
              <a:schemeClr val="lt1"/>
            </a:solidFill>
          </a:ln>
          <a:effectLst/>
        </c:spPr>
        <c:marker>
          <c:symbol val="none"/>
        </c:marker>
      </c:pivotFmt>
      <c:pivotFmt>
        <c:idx val="240"/>
        <c:spPr>
          <a:solidFill>
            <a:schemeClr val="accent4"/>
          </a:solidFill>
          <a:ln w="19050">
            <a:solidFill>
              <a:schemeClr val="lt1"/>
            </a:solidFill>
          </a:ln>
          <a:effectLst/>
        </c:spPr>
        <c:marker>
          <c:symbol val="none"/>
        </c:marker>
      </c:pivotFmt>
      <c:pivotFmt>
        <c:idx val="241"/>
        <c:spPr>
          <a:solidFill>
            <a:schemeClr val="accent4"/>
          </a:solidFill>
          <a:ln w="19050">
            <a:solidFill>
              <a:schemeClr val="lt1"/>
            </a:solidFill>
          </a:ln>
          <a:effectLst/>
        </c:spPr>
        <c:marker>
          <c:symbol val="none"/>
        </c:marker>
      </c:pivotFmt>
      <c:pivotFmt>
        <c:idx val="242"/>
        <c:spPr>
          <a:solidFill>
            <a:schemeClr val="accent4"/>
          </a:solidFill>
          <a:ln w="19050">
            <a:solidFill>
              <a:schemeClr val="lt1"/>
            </a:solidFill>
          </a:ln>
          <a:effectLst/>
        </c:spPr>
        <c:marker>
          <c:symbol val="none"/>
        </c:marker>
      </c:pivotFmt>
      <c:pivotFmt>
        <c:idx val="243"/>
        <c:spPr>
          <a:solidFill>
            <a:schemeClr val="accent4"/>
          </a:solidFill>
          <a:ln w="19050">
            <a:solidFill>
              <a:schemeClr val="lt1"/>
            </a:solidFill>
          </a:ln>
          <a:effectLst/>
        </c:spPr>
        <c:marker>
          <c:symbol val="none"/>
        </c:marker>
      </c:pivotFmt>
      <c:pivotFmt>
        <c:idx val="244"/>
        <c:spPr>
          <a:solidFill>
            <a:schemeClr val="accent4"/>
          </a:solidFill>
          <a:ln w="19050">
            <a:solidFill>
              <a:schemeClr val="lt1"/>
            </a:solidFill>
          </a:ln>
          <a:effectLst/>
        </c:spPr>
        <c:marker>
          <c:symbol val="none"/>
        </c:marker>
      </c:pivotFmt>
      <c:pivotFmt>
        <c:idx val="245"/>
        <c:spPr>
          <a:solidFill>
            <a:schemeClr val="accent4"/>
          </a:solidFill>
          <a:ln w="19050">
            <a:solidFill>
              <a:schemeClr val="lt1"/>
            </a:solidFill>
          </a:ln>
          <a:effectLst/>
        </c:spPr>
        <c:marker>
          <c:symbol val="none"/>
        </c:marker>
      </c:pivotFmt>
      <c:pivotFmt>
        <c:idx val="246"/>
        <c:spPr>
          <a:solidFill>
            <a:schemeClr val="accent4"/>
          </a:solidFill>
          <a:ln w="19050">
            <a:solidFill>
              <a:schemeClr val="lt1"/>
            </a:solidFill>
          </a:ln>
          <a:effectLst/>
        </c:spPr>
        <c:marker>
          <c:symbol val="none"/>
        </c:marker>
      </c:pivotFmt>
      <c:pivotFmt>
        <c:idx val="247"/>
        <c:spPr>
          <a:solidFill>
            <a:schemeClr val="accent4"/>
          </a:solidFill>
          <a:ln w="19050">
            <a:solidFill>
              <a:schemeClr val="lt1"/>
            </a:solidFill>
          </a:ln>
          <a:effectLst/>
        </c:spPr>
        <c:marker>
          <c:symbol val="none"/>
        </c:marker>
      </c:pivotFmt>
      <c:pivotFmt>
        <c:idx val="248"/>
        <c:spPr>
          <a:solidFill>
            <a:schemeClr val="accent4"/>
          </a:solidFill>
          <a:ln w="19050">
            <a:solidFill>
              <a:schemeClr val="lt1"/>
            </a:solidFill>
          </a:ln>
          <a:effectLst/>
        </c:spPr>
        <c:marker>
          <c:symbol val="none"/>
        </c:marker>
      </c:pivotFmt>
      <c:pivotFmt>
        <c:idx val="249"/>
        <c:spPr>
          <a:solidFill>
            <a:schemeClr val="accent4"/>
          </a:solidFill>
          <a:ln w="19050">
            <a:solidFill>
              <a:schemeClr val="lt1"/>
            </a:solidFill>
          </a:ln>
          <a:effectLst/>
        </c:spPr>
        <c:marker>
          <c:symbol val="none"/>
        </c:marker>
      </c:pivotFmt>
      <c:pivotFmt>
        <c:idx val="250"/>
        <c:spPr>
          <a:solidFill>
            <a:schemeClr val="accent4"/>
          </a:solidFill>
          <a:ln w="19050">
            <a:solidFill>
              <a:schemeClr val="lt1"/>
            </a:solidFill>
          </a:ln>
          <a:effectLst/>
        </c:spPr>
        <c:marker>
          <c:symbol val="none"/>
        </c:marker>
      </c:pivotFmt>
      <c:pivotFmt>
        <c:idx val="251"/>
        <c:spPr>
          <a:solidFill>
            <a:schemeClr val="accent4"/>
          </a:solidFill>
          <a:ln w="19050">
            <a:solidFill>
              <a:schemeClr val="lt1"/>
            </a:solidFill>
          </a:ln>
          <a:effectLst/>
        </c:spPr>
        <c:marker>
          <c:symbol val="none"/>
        </c:marker>
      </c:pivotFmt>
      <c:pivotFmt>
        <c:idx val="252"/>
        <c:spPr>
          <a:solidFill>
            <a:schemeClr val="accent4"/>
          </a:solidFill>
          <a:ln w="19050">
            <a:solidFill>
              <a:schemeClr val="lt1"/>
            </a:solidFill>
          </a:ln>
          <a:effectLst/>
        </c:spPr>
        <c:marker>
          <c:symbol val="none"/>
        </c:marker>
      </c:pivotFmt>
      <c:pivotFmt>
        <c:idx val="253"/>
        <c:spPr>
          <a:solidFill>
            <a:schemeClr val="accent4"/>
          </a:solidFill>
          <a:ln w="19050">
            <a:solidFill>
              <a:schemeClr val="lt1"/>
            </a:solidFill>
          </a:ln>
          <a:effectLst/>
        </c:spPr>
        <c:marker>
          <c:symbol val="none"/>
        </c:marker>
      </c:pivotFmt>
      <c:pivotFmt>
        <c:idx val="254"/>
        <c:spPr>
          <a:solidFill>
            <a:schemeClr val="accent4"/>
          </a:solidFill>
          <a:ln w="19050">
            <a:solidFill>
              <a:schemeClr val="lt1"/>
            </a:solidFill>
          </a:ln>
          <a:effectLst/>
        </c:spPr>
        <c:marker>
          <c:symbol val="none"/>
        </c:marker>
      </c:pivotFmt>
      <c:pivotFmt>
        <c:idx val="255"/>
        <c:spPr>
          <a:solidFill>
            <a:schemeClr val="accent4"/>
          </a:solidFill>
          <a:ln w="19050">
            <a:solidFill>
              <a:schemeClr val="lt1"/>
            </a:solidFill>
          </a:ln>
          <a:effectLst/>
        </c:spPr>
        <c:marker>
          <c:symbol val="none"/>
        </c:marker>
      </c:pivotFmt>
      <c:pivotFmt>
        <c:idx val="256"/>
        <c:spPr>
          <a:solidFill>
            <a:schemeClr val="accent4"/>
          </a:solidFill>
          <a:ln w="19050">
            <a:solidFill>
              <a:schemeClr val="lt1"/>
            </a:solidFill>
          </a:ln>
          <a:effectLst/>
        </c:spPr>
        <c:marker>
          <c:symbol val="none"/>
        </c:marker>
      </c:pivotFmt>
      <c:pivotFmt>
        <c:idx val="257"/>
        <c:spPr>
          <a:solidFill>
            <a:schemeClr val="accent4"/>
          </a:solidFill>
          <a:ln w="19050">
            <a:solidFill>
              <a:schemeClr val="lt1"/>
            </a:solidFill>
          </a:ln>
          <a:effectLst/>
        </c:spPr>
        <c:marker>
          <c:symbol val="none"/>
        </c:marker>
      </c:pivotFmt>
      <c:pivotFmt>
        <c:idx val="258"/>
        <c:spPr>
          <a:solidFill>
            <a:schemeClr val="accent4"/>
          </a:solidFill>
          <a:ln w="19050">
            <a:solidFill>
              <a:schemeClr val="lt1"/>
            </a:solidFill>
          </a:ln>
          <a:effectLst/>
        </c:spPr>
        <c:marker>
          <c:symbol val="none"/>
        </c:marker>
      </c:pivotFmt>
      <c:pivotFmt>
        <c:idx val="259"/>
        <c:spPr>
          <a:solidFill>
            <a:schemeClr val="accent4"/>
          </a:solidFill>
          <a:ln w="19050">
            <a:solidFill>
              <a:schemeClr val="lt1"/>
            </a:solidFill>
          </a:ln>
          <a:effectLst/>
        </c:spPr>
        <c:marker>
          <c:symbol val="none"/>
        </c:marker>
      </c:pivotFmt>
      <c:pivotFmt>
        <c:idx val="260"/>
        <c:spPr>
          <a:solidFill>
            <a:schemeClr val="accent4"/>
          </a:solidFill>
          <a:ln w="19050">
            <a:solidFill>
              <a:schemeClr val="lt1"/>
            </a:solidFill>
          </a:ln>
          <a:effectLst/>
        </c:spPr>
        <c:marker>
          <c:symbol val="none"/>
        </c:marker>
      </c:pivotFmt>
      <c:pivotFmt>
        <c:idx val="261"/>
        <c:spPr>
          <a:solidFill>
            <a:schemeClr val="accent4"/>
          </a:solidFill>
          <a:ln w="19050">
            <a:solidFill>
              <a:schemeClr val="lt1"/>
            </a:solidFill>
          </a:ln>
          <a:effectLst/>
        </c:spPr>
        <c:marker>
          <c:symbol val="none"/>
        </c:marker>
      </c:pivotFmt>
      <c:pivotFmt>
        <c:idx val="262"/>
        <c:spPr>
          <a:solidFill>
            <a:schemeClr val="accent4"/>
          </a:solidFill>
          <a:ln w="19050">
            <a:solidFill>
              <a:schemeClr val="lt1"/>
            </a:solidFill>
          </a:ln>
          <a:effectLst/>
        </c:spPr>
        <c:marker>
          <c:symbol val="none"/>
        </c:marker>
      </c:pivotFmt>
      <c:pivotFmt>
        <c:idx val="263"/>
        <c:spPr>
          <a:solidFill>
            <a:schemeClr val="accent4"/>
          </a:solidFill>
          <a:ln w="19050">
            <a:solidFill>
              <a:schemeClr val="lt1"/>
            </a:solidFill>
          </a:ln>
          <a:effectLst/>
        </c:spPr>
        <c:marker>
          <c:symbol val="none"/>
        </c:marker>
      </c:pivotFmt>
      <c:pivotFmt>
        <c:idx val="264"/>
        <c:spPr>
          <a:solidFill>
            <a:schemeClr val="accent4"/>
          </a:solidFill>
          <a:ln w="19050">
            <a:solidFill>
              <a:schemeClr val="lt1"/>
            </a:solidFill>
          </a:ln>
          <a:effectLst/>
        </c:spPr>
        <c:marker>
          <c:symbol val="none"/>
        </c:marker>
      </c:pivotFmt>
      <c:pivotFmt>
        <c:idx val="265"/>
        <c:spPr>
          <a:solidFill>
            <a:schemeClr val="accent4"/>
          </a:solidFill>
          <a:ln w="19050">
            <a:solidFill>
              <a:schemeClr val="lt1"/>
            </a:solidFill>
          </a:ln>
          <a:effectLst/>
        </c:spPr>
        <c:marker>
          <c:symbol val="none"/>
        </c:marker>
      </c:pivotFmt>
      <c:pivotFmt>
        <c:idx val="266"/>
        <c:spPr>
          <a:solidFill>
            <a:schemeClr val="accent4"/>
          </a:solidFill>
          <a:ln w="19050">
            <a:solidFill>
              <a:schemeClr val="lt1"/>
            </a:solidFill>
          </a:ln>
          <a:effectLst/>
        </c:spPr>
        <c:marker>
          <c:symbol val="none"/>
        </c:marker>
      </c:pivotFmt>
      <c:pivotFmt>
        <c:idx val="267"/>
        <c:spPr>
          <a:solidFill>
            <a:schemeClr val="accent4"/>
          </a:solidFill>
          <a:ln w="19050">
            <a:solidFill>
              <a:schemeClr val="lt1"/>
            </a:solidFill>
          </a:ln>
          <a:effectLst/>
        </c:spPr>
        <c:marker>
          <c:symbol val="none"/>
        </c:marker>
      </c:pivotFmt>
      <c:pivotFmt>
        <c:idx val="268"/>
        <c:spPr>
          <a:solidFill>
            <a:schemeClr val="accent4"/>
          </a:solidFill>
          <a:ln w="19050">
            <a:solidFill>
              <a:schemeClr val="lt1"/>
            </a:solidFill>
          </a:ln>
          <a:effectLst/>
        </c:spPr>
        <c:marker>
          <c:symbol val="none"/>
        </c:marker>
      </c:pivotFmt>
      <c:pivotFmt>
        <c:idx val="269"/>
        <c:spPr>
          <a:solidFill>
            <a:schemeClr val="accent4"/>
          </a:solidFill>
          <a:ln w="19050">
            <a:solidFill>
              <a:schemeClr val="lt1"/>
            </a:solidFill>
          </a:ln>
          <a:effectLst/>
        </c:spPr>
        <c:marker>
          <c:symbol val="none"/>
        </c:marker>
      </c:pivotFmt>
      <c:pivotFmt>
        <c:idx val="270"/>
        <c:spPr>
          <a:solidFill>
            <a:schemeClr val="accent4"/>
          </a:solidFill>
          <a:ln w="19050">
            <a:solidFill>
              <a:schemeClr val="lt1"/>
            </a:solidFill>
          </a:ln>
          <a:effectLst/>
        </c:spPr>
        <c:marker>
          <c:symbol val="none"/>
        </c:marker>
      </c:pivotFmt>
      <c:pivotFmt>
        <c:idx val="271"/>
        <c:spPr>
          <a:solidFill>
            <a:schemeClr val="accent4"/>
          </a:solidFill>
          <a:ln w="19050">
            <a:solidFill>
              <a:schemeClr val="lt1"/>
            </a:solidFill>
          </a:ln>
          <a:effectLst/>
        </c:spPr>
        <c:marker>
          <c:symbol val="none"/>
        </c:marker>
      </c:pivotFmt>
      <c:pivotFmt>
        <c:idx val="272"/>
        <c:spPr>
          <a:solidFill>
            <a:schemeClr val="accent4"/>
          </a:solidFill>
          <a:ln w="19050">
            <a:solidFill>
              <a:schemeClr val="lt1"/>
            </a:solidFill>
          </a:ln>
          <a:effectLst/>
        </c:spPr>
        <c:marker>
          <c:symbol val="none"/>
        </c:marker>
      </c:pivotFmt>
      <c:pivotFmt>
        <c:idx val="273"/>
        <c:spPr>
          <a:solidFill>
            <a:schemeClr val="accent4"/>
          </a:solidFill>
          <a:ln w="19050">
            <a:solidFill>
              <a:schemeClr val="lt1"/>
            </a:solidFill>
          </a:ln>
          <a:effectLst/>
        </c:spPr>
        <c:marker>
          <c:symbol val="none"/>
        </c:marker>
      </c:pivotFmt>
      <c:pivotFmt>
        <c:idx val="274"/>
        <c:spPr>
          <a:solidFill>
            <a:schemeClr val="accent4"/>
          </a:solidFill>
          <a:ln w="19050">
            <a:solidFill>
              <a:schemeClr val="lt1"/>
            </a:solidFill>
          </a:ln>
          <a:effectLst/>
        </c:spPr>
        <c:marker>
          <c:symbol val="none"/>
        </c:marker>
      </c:pivotFmt>
      <c:pivotFmt>
        <c:idx val="275"/>
        <c:spPr>
          <a:solidFill>
            <a:schemeClr val="accent4"/>
          </a:solidFill>
          <a:ln w="19050">
            <a:solidFill>
              <a:schemeClr val="lt1"/>
            </a:solidFill>
          </a:ln>
          <a:effectLst/>
        </c:spPr>
        <c:marker>
          <c:symbol val="none"/>
        </c:marker>
      </c:pivotFmt>
      <c:pivotFmt>
        <c:idx val="276"/>
        <c:spPr>
          <a:solidFill>
            <a:schemeClr val="accent4"/>
          </a:solidFill>
          <a:ln w="19050">
            <a:solidFill>
              <a:schemeClr val="lt1"/>
            </a:solidFill>
          </a:ln>
          <a:effectLst/>
        </c:spPr>
        <c:marker>
          <c:symbol val="none"/>
        </c:marker>
      </c:pivotFmt>
      <c:pivotFmt>
        <c:idx val="277"/>
        <c:spPr>
          <a:solidFill>
            <a:schemeClr val="accent4"/>
          </a:solidFill>
          <a:ln w="19050">
            <a:solidFill>
              <a:schemeClr val="lt1"/>
            </a:solidFill>
          </a:ln>
          <a:effectLst/>
        </c:spPr>
        <c:marker>
          <c:symbol val="none"/>
        </c:marker>
      </c:pivotFmt>
      <c:pivotFmt>
        <c:idx val="278"/>
        <c:spPr>
          <a:solidFill>
            <a:schemeClr val="accent4"/>
          </a:solidFill>
          <a:ln w="19050">
            <a:solidFill>
              <a:schemeClr val="lt1"/>
            </a:solidFill>
          </a:ln>
          <a:effectLst/>
        </c:spPr>
        <c:marker>
          <c:symbol val="none"/>
        </c:marker>
      </c:pivotFmt>
      <c:pivotFmt>
        <c:idx val="279"/>
        <c:spPr>
          <a:solidFill>
            <a:schemeClr val="accent4"/>
          </a:solidFill>
          <a:ln w="19050">
            <a:solidFill>
              <a:schemeClr val="lt1"/>
            </a:solidFill>
          </a:ln>
          <a:effectLst/>
        </c:spPr>
        <c:marker>
          <c:symbol val="none"/>
        </c:marker>
      </c:pivotFmt>
      <c:pivotFmt>
        <c:idx val="280"/>
        <c:spPr>
          <a:solidFill>
            <a:schemeClr val="accent4"/>
          </a:solidFill>
          <a:ln w="19050">
            <a:solidFill>
              <a:schemeClr val="lt1"/>
            </a:solidFill>
          </a:ln>
          <a:effectLst/>
        </c:spPr>
        <c:marker>
          <c:symbol val="none"/>
        </c:marker>
      </c:pivotFmt>
      <c:pivotFmt>
        <c:idx val="281"/>
        <c:spPr>
          <a:solidFill>
            <a:schemeClr val="accent4"/>
          </a:solidFill>
          <a:ln w="19050">
            <a:solidFill>
              <a:schemeClr val="lt1"/>
            </a:solidFill>
          </a:ln>
          <a:effectLst/>
        </c:spPr>
        <c:marker>
          <c:symbol val="none"/>
        </c:marker>
      </c:pivotFmt>
      <c:pivotFmt>
        <c:idx val="28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4"/>
          </a:solidFill>
          <a:ln w="19050">
            <a:solidFill>
              <a:schemeClr val="lt1"/>
            </a:solidFill>
          </a:ln>
          <a:effectLst/>
        </c:spPr>
        <c:marker>
          <c:symbol val="none"/>
        </c:marker>
      </c:pivotFmt>
      <c:pivotFmt>
        <c:idx val="293"/>
        <c:spPr>
          <a:solidFill>
            <a:schemeClr val="accent4"/>
          </a:solidFill>
          <a:ln w="19050">
            <a:solidFill>
              <a:schemeClr val="lt1"/>
            </a:solidFill>
          </a:ln>
          <a:effectLst/>
        </c:spPr>
        <c:marker>
          <c:symbol val="none"/>
        </c:marker>
      </c:pivotFmt>
    </c:pivotFmts>
    <c:plotArea>
      <c:layout/>
      <c:barChart>
        <c:barDir val="col"/>
        <c:grouping val="clustered"/>
        <c:varyColors val="0"/>
        <c:ser>
          <c:idx val="0"/>
          <c:order val="0"/>
          <c:tx>
            <c:strRef>
              <c:f>'Equipment Runtime '!$B$5:$B$7</c:f>
              <c:strCache>
                <c:ptCount val="1"/>
                <c:pt idx="0">
                  <c:v>Anesthesia Machine - Sum of Utilization_Rate(%)</c:v>
                </c:pt>
              </c:strCache>
            </c:strRef>
          </c:tx>
          <c:spPr>
            <a:solidFill>
              <a:schemeClr val="accent4">
                <a:shade val="58000"/>
              </a:schemeClr>
            </a:solidFill>
            <a:ln w="19050">
              <a:solidFill>
                <a:schemeClr val="lt1"/>
              </a:solidFill>
            </a:ln>
            <a:effectLst/>
          </c:spPr>
          <c:invertIfNegative val="0"/>
          <c:cat>
            <c:multiLvlStrRef>
              <c:f>'Equipment Runtime '!$A$8:$A$31</c:f>
              <c:multiLvlStrCache>
                <c:ptCount val="22"/>
                <c:lvl>
                  <c:pt idx="0">
                    <c:v>6</c:v>
                  </c:pt>
                  <c:pt idx="1">
                    <c:v>6.3</c:v>
                  </c:pt>
                  <c:pt idx="2">
                    <c:v>6.4</c:v>
                  </c:pt>
                  <c:pt idx="3">
                    <c:v>6.6</c:v>
                  </c:pt>
                  <c:pt idx="4">
                    <c:v>6.8</c:v>
                  </c:pt>
                  <c:pt idx="5">
                    <c:v>7.2</c:v>
                  </c:pt>
                  <c:pt idx="6">
                    <c:v>7.3</c:v>
                  </c:pt>
                  <c:pt idx="7">
                    <c:v>7.5</c:v>
                  </c:pt>
                  <c:pt idx="8">
                    <c:v>7.6</c:v>
                  </c:pt>
                  <c:pt idx="9">
                    <c:v>7.8</c:v>
                  </c:pt>
                  <c:pt idx="10">
                    <c:v>7.9</c:v>
                  </c:pt>
                  <c:pt idx="11">
                    <c:v>8.3</c:v>
                  </c:pt>
                  <c:pt idx="12">
                    <c:v>8.6</c:v>
                  </c:pt>
                  <c:pt idx="13">
                    <c:v>9</c:v>
                  </c:pt>
                  <c:pt idx="14">
                    <c:v>9.2</c:v>
                  </c:pt>
                  <c:pt idx="15">
                    <c:v>9.5</c:v>
                  </c:pt>
                  <c:pt idx="16">
                    <c:v>9.7</c:v>
                  </c:pt>
                  <c:pt idx="17">
                    <c:v>9.9</c:v>
                  </c:pt>
                  <c:pt idx="18">
                    <c:v>10.3</c:v>
                  </c:pt>
                  <c:pt idx="19">
                    <c:v>10.4</c:v>
                  </c:pt>
                  <c:pt idx="20">
                    <c:v>10.7</c:v>
                  </c:pt>
                  <c:pt idx="21">
                    <c:v>10.9</c:v>
                  </c:pt>
                </c:lvl>
                <c:lvl>
                  <c:pt idx="0">
                    <c:v>Active</c:v>
                  </c:pt>
                </c:lvl>
              </c:multiLvlStrCache>
            </c:multiLvlStrRef>
          </c:cat>
          <c:val>
            <c:numRef>
              <c:f>'Equipment Runtime '!$B$8:$B$31</c:f>
              <c:numCache>
                <c:formatCode>General</c:formatCode>
                <c:ptCount val="22"/>
                <c:pt idx="0">
                  <c:v>61.67</c:v>
                </c:pt>
                <c:pt idx="1">
                  <c:v>69.84</c:v>
                </c:pt>
                <c:pt idx="3">
                  <c:v>69.7</c:v>
                </c:pt>
                <c:pt idx="7">
                  <c:v>81.33</c:v>
                </c:pt>
                <c:pt idx="8">
                  <c:v>51.32</c:v>
                </c:pt>
                <c:pt idx="9">
                  <c:v>98.72</c:v>
                </c:pt>
                <c:pt idx="10">
                  <c:v>130.38</c:v>
                </c:pt>
                <c:pt idx="11">
                  <c:v>100</c:v>
                </c:pt>
                <c:pt idx="13">
                  <c:v>77.78</c:v>
                </c:pt>
                <c:pt idx="14">
                  <c:v>80.430000000000007</c:v>
                </c:pt>
                <c:pt idx="15">
                  <c:v>94.74</c:v>
                </c:pt>
                <c:pt idx="16">
                  <c:v>64.95</c:v>
                </c:pt>
                <c:pt idx="19">
                  <c:v>75.959999999999994</c:v>
                </c:pt>
                <c:pt idx="20">
                  <c:v>98.13</c:v>
                </c:pt>
              </c:numCache>
            </c:numRef>
          </c:val>
          <c:extLst>
            <c:ext xmlns:c16="http://schemas.microsoft.com/office/drawing/2014/chart" uri="{C3380CC4-5D6E-409C-BE32-E72D297353CC}">
              <c16:uniqueId val="{00000068-BBE6-4DBD-B4E0-7F76D7836895}"/>
            </c:ext>
          </c:extLst>
        </c:ser>
        <c:ser>
          <c:idx val="1"/>
          <c:order val="1"/>
          <c:tx>
            <c:strRef>
              <c:f>'Equipment Runtime '!$C$5:$C$7</c:f>
              <c:strCache>
                <c:ptCount val="1"/>
                <c:pt idx="0">
                  <c:v>Anesthesia Machine - Sum of Downtime_Rate(%)</c:v>
                </c:pt>
              </c:strCache>
            </c:strRef>
          </c:tx>
          <c:spPr>
            <a:solidFill>
              <a:schemeClr val="accent4">
                <a:shade val="86000"/>
              </a:schemeClr>
            </a:solidFill>
            <a:ln w="19050">
              <a:solidFill>
                <a:schemeClr val="lt1"/>
              </a:solidFill>
            </a:ln>
            <a:effectLst/>
          </c:spPr>
          <c:invertIfNegative val="0"/>
          <c:cat>
            <c:multiLvlStrRef>
              <c:f>'Equipment Runtime '!$A$8:$A$31</c:f>
              <c:multiLvlStrCache>
                <c:ptCount val="22"/>
                <c:lvl>
                  <c:pt idx="0">
                    <c:v>6</c:v>
                  </c:pt>
                  <c:pt idx="1">
                    <c:v>6.3</c:v>
                  </c:pt>
                  <c:pt idx="2">
                    <c:v>6.4</c:v>
                  </c:pt>
                  <c:pt idx="3">
                    <c:v>6.6</c:v>
                  </c:pt>
                  <c:pt idx="4">
                    <c:v>6.8</c:v>
                  </c:pt>
                  <c:pt idx="5">
                    <c:v>7.2</c:v>
                  </c:pt>
                  <c:pt idx="6">
                    <c:v>7.3</c:v>
                  </c:pt>
                  <c:pt idx="7">
                    <c:v>7.5</c:v>
                  </c:pt>
                  <c:pt idx="8">
                    <c:v>7.6</c:v>
                  </c:pt>
                  <c:pt idx="9">
                    <c:v>7.8</c:v>
                  </c:pt>
                  <c:pt idx="10">
                    <c:v>7.9</c:v>
                  </c:pt>
                  <c:pt idx="11">
                    <c:v>8.3</c:v>
                  </c:pt>
                  <c:pt idx="12">
                    <c:v>8.6</c:v>
                  </c:pt>
                  <c:pt idx="13">
                    <c:v>9</c:v>
                  </c:pt>
                  <c:pt idx="14">
                    <c:v>9.2</c:v>
                  </c:pt>
                  <c:pt idx="15">
                    <c:v>9.5</c:v>
                  </c:pt>
                  <c:pt idx="16">
                    <c:v>9.7</c:v>
                  </c:pt>
                  <c:pt idx="17">
                    <c:v>9.9</c:v>
                  </c:pt>
                  <c:pt idx="18">
                    <c:v>10.3</c:v>
                  </c:pt>
                  <c:pt idx="19">
                    <c:v>10.4</c:v>
                  </c:pt>
                  <c:pt idx="20">
                    <c:v>10.7</c:v>
                  </c:pt>
                  <c:pt idx="21">
                    <c:v>10.9</c:v>
                  </c:pt>
                </c:lvl>
                <c:lvl>
                  <c:pt idx="0">
                    <c:v>Active</c:v>
                  </c:pt>
                </c:lvl>
              </c:multiLvlStrCache>
            </c:multiLvlStrRef>
          </c:cat>
          <c:val>
            <c:numRef>
              <c:f>'Equipment Runtime '!$C$8:$C$31</c:f>
              <c:numCache>
                <c:formatCode>General</c:formatCode>
                <c:ptCount val="22"/>
                <c:pt idx="0">
                  <c:v>25</c:v>
                </c:pt>
                <c:pt idx="1">
                  <c:v>15.87</c:v>
                </c:pt>
                <c:pt idx="3">
                  <c:v>27.27</c:v>
                </c:pt>
                <c:pt idx="7">
                  <c:v>14.67</c:v>
                </c:pt>
                <c:pt idx="8">
                  <c:v>39.47</c:v>
                </c:pt>
                <c:pt idx="9">
                  <c:v>0</c:v>
                </c:pt>
                <c:pt idx="10">
                  <c:v>56.96</c:v>
                </c:pt>
                <c:pt idx="11">
                  <c:v>0</c:v>
                </c:pt>
                <c:pt idx="13">
                  <c:v>18.89</c:v>
                </c:pt>
                <c:pt idx="14">
                  <c:v>13.04</c:v>
                </c:pt>
                <c:pt idx="15">
                  <c:v>1.05</c:v>
                </c:pt>
                <c:pt idx="16">
                  <c:v>28.87</c:v>
                </c:pt>
                <c:pt idx="19">
                  <c:v>24.04</c:v>
                </c:pt>
                <c:pt idx="20">
                  <c:v>0</c:v>
                </c:pt>
              </c:numCache>
            </c:numRef>
          </c:val>
          <c:extLst>
            <c:ext xmlns:c16="http://schemas.microsoft.com/office/drawing/2014/chart" uri="{C3380CC4-5D6E-409C-BE32-E72D297353CC}">
              <c16:uniqueId val="{00000071-BBE6-4DBD-B4E0-7F76D7836895}"/>
            </c:ext>
          </c:extLst>
        </c:ser>
        <c:ser>
          <c:idx val="2"/>
          <c:order val="2"/>
          <c:tx>
            <c:strRef>
              <c:f>'Equipment Runtime '!$D$5:$D$7</c:f>
              <c:strCache>
                <c:ptCount val="1"/>
                <c:pt idx="0">
                  <c:v>CT Scanner - Sum of Utilization_Rate(%)</c:v>
                </c:pt>
              </c:strCache>
            </c:strRef>
          </c:tx>
          <c:spPr>
            <a:solidFill>
              <a:schemeClr val="accent4">
                <a:tint val="86000"/>
              </a:schemeClr>
            </a:solidFill>
            <a:ln w="19050">
              <a:solidFill>
                <a:schemeClr val="lt1"/>
              </a:solidFill>
            </a:ln>
            <a:effectLst/>
          </c:spPr>
          <c:invertIfNegative val="0"/>
          <c:cat>
            <c:multiLvlStrRef>
              <c:f>'Equipment Runtime '!$A$8:$A$31</c:f>
              <c:multiLvlStrCache>
                <c:ptCount val="22"/>
                <c:lvl>
                  <c:pt idx="0">
                    <c:v>6</c:v>
                  </c:pt>
                  <c:pt idx="1">
                    <c:v>6.3</c:v>
                  </c:pt>
                  <c:pt idx="2">
                    <c:v>6.4</c:v>
                  </c:pt>
                  <c:pt idx="3">
                    <c:v>6.6</c:v>
                  </c:pt>
                  <c:pt idx="4">
                    <c:v>6.8</c:v>
                  </c:pt>
                  <c:pt idx="5">
                    <c:v>7.2</c:v>
                  </c:pt>
                  <c:pt idx="6">
                    <c:v>7.3</c:v>
                  </c:pt>
                  <c:pt idx="7">
                    <c:v>7.5</c:v>
                  </c:pt>
                  <c:pt idx="8">
                    <c:v>7.6</c:v>
                  </c:pt>
                  <c:pt idx="9">
                    <c:v>7.8</c:v>
                  </c:pt>
                  <c:pt idx="10">
                    <c:v>7.9</c:v>
                  </c:pt>
                  <c:pt idx="11">
                    <c:v>8.3</c:v>
                  </c:pt>
                  <c:pt idx="12">
                    <c:v>8.6</c:v>
                  </c:pt>
                  <c:pt idx="13">
                    <c:v>9</c:v>
                  </c:pt>
                  <c:pt idx="14">
                    <c:v>9.2</c:v>
                  </c:pt>
                  <c:pt idx="15">
                    <c:v>9.5</c:v>
                  </c:pt>
                  <c:pt idx="16">
                    <c:v>9.7</c:v>
                  </c:pt>
                  <c:pt idx="17">
                    <c:v>9.9</c:v>
                  </c:pt>
                  <c:pt idx="18">
                    <c:v>10.3</c:v>
                  </c:pt>
                  <c:pt idx="19">
                    <c:v>10.4</c:v>
                  </c:pt>
                  <c:pt idx="20">
                    <c:v>10.7</c:v>
                  </c:pt>
                  <c:pt idx="21">
                    <c:v>10.9</c:v>
                  </c:pt>
                </c:lvl>
                <c:lvl>
                  <c:pt idx="0">
                    <c:v>Active</c:v>
                  </c:pt>
                </c:lvl>
              </c:multiLvlStrCache>
            </c:multiLvlStrRef>
          </c:cat>
          <c:val>
            <c:numRef>
              <c:f>'Equipment Runtime '!$D$8:$D$31</c:f>
              <c:numCache>
                <c:formatCode>General</c:formatCode>
                <c:ptCount val="22"/>
                <c:pt idx="2">
                  <c:v>73.44</c:v>
                </c:pt>
                <c:pt idx="3">
                  <c:v>84.85</c:v>
                </c:pt>
                <c:pt idx="4">
                  <c:v>67.650000000000006</c:v>
                </c:pt>
                <c:pt idx="5">
                  <c:v>52.78</c:v>
                </c:pt>
                <c:pt idx="6">
                  <c:v>115.07</c:v>
                </c:pt>
                <c:pt idx="7">
                  <c:v>74.67</c:v>
                </c:pt>
                <c:pt idx="8">
                  <c:v>94.74</c:v>
                </c:pt>
                <c:pt idx="12">
                  <c:v>63.95</c:v>
                </c:pt>
                <c:pt idx="16">
                  <c:v>74.23</c:v>
                </c:pt>
                <c:pt idx="17">
                  <c:v>94.95</c:v>
                </c:pt>
                <c:pt idx="18">
                  <c:v>73.790000000000006</c:v>
                </c:pt>
                <c:pt idx="21">
                  <c:v>99.08</c:v>
                </c:pt>
              </c:numCache>
            </c:numRef>
          </c:val>
          <c:extLst>
            <c:ext xmlns:c16="http://schemas.microsoft.com/office/drawing/2014/chart" uri="{C3380CC4-5D6E-409C-BE32-E72D297353CC}">
              <c16:uniqueId val="{000000D8-BBE6-4DBD-B4E0-7F76D7836895}"/>
            </c:ext>
          </c:extLst>
        </c:ser>
        <c:ser>
          <c:idx val="3"/>
          <c:order val="3"/>
          <c:tx>
            <c:strRef>
              <c:f>'Equipment Runtime '!$E$5:$E$7</c:f>
              <c:strCache>
                <c:ptCount val="1"/>
                <c:pt idx="0">
                  <c:v>CT Scanner - Sum of Downtime_Rate(%)</c:v>
                </c:pt>
              </c:strCache>
            </c:strRef>
          </c:tx>
          <c:spPr>
            <a:solidFill>
              <a:schemeClr val="accent4">
                <a:tint val="58000"/>
              </a:schemeClr>
            </a:solidFill>
            <a:ln w="19050">
              <a:solidFill>
                <a:schemeClr val="lt1"/>
              </a:solidFill>
            </a:ln>
            <a:effectLst/>
          </c:spPr>
          <c:invertIfNegative val="0"/>
          <c:cat>
            <c:multiLvlStrRef>
              <c:f>'Equipment Runtime '!$A$8:$A$31</c:f>
              <c:multiLvlStrCache>
                <c:ptCount val="22"/>
                <c:lvl>
                  <c:pt idx="0">
                    <c:v>6</c:v>
                  </c:pt>
                  <c:pt idx="1">
                    <c:v>6.3</c:v>
                  </c:pt>
                  <c:pt idx="2">
                    <c:v>6.4</c:v>
                  </c:pt>
                  <c:pt idx="3">
                    <c:v>6.6</c:v>
                  </c:pt>
                  <c:pt idx="4">
                    <c:v>6.8</c:v>
                  </c:pt>
                  <c:pt idx="5">
                    <c:v>7.2</c:v>
                  </c:pt>
                  <c:pt idx="6">
                    <c:v>7.3</c:v>
                  </c:pt>
                  <c:pt idx="7">
                    <c:v>7.5</c:v>
                  </c:pt>
                  <c:pt idx="8">
                    <c:v>7.6</c:v>
                  </c:pt>
                  <c:pt idx="9">
                    <c:v>7.8</c:v>
                  </c:pt>
                  <c:pt idx="10">
                    <c:v>7.9</c:v>
                  </c:pt>
                  <c:pt idx="11">
                    <c:v>8.3</c:v>
                  </c:pt>
                  <c:pt idx="12">
                    <c:v>8.6</c:v>
                  </c:pt>
                  <c:pt idx="13">
                    <c:v>9</c:v>
                  </c:pt>
                  <c:pt idx="14">
                    <c:v>9.2</c:v>
                  </c:pt>
                  <c:pt idx="15">
                    <c:v>9.5</c:v>
                  </c:pt>
                  <c:pt idx="16">
                    <c:v>9.7</c:v>
                  </c:pt>
                  <c:pt idx="17">
                    <c:v>9.9</c:v>
                  </c:pt>
                  <c:pt idx="18">
                    <c:v>10.3</c:v>
                  </c:pt>
                  <c:pt idx="19">
                    <c:v>10.4</c:v>
                  </c:pt>
                  <c:pt idx="20">
                    <c:v>10.7</c:v>
                  </c:pt>
                  <c:pt idx="21">
                    <c:v>10.9</c:v>
                  </c:pt>
                </c:lvl>
                <c:lvl>
                  <c:pt idx="0">
                    <c:v>Active</c:v>
                  </c:pt>
                </c:lvl>
              </c:multiLvlStrCache>
            </c:multiLvlStrRef>
          </c:cat>
          <c:val>
            <c:numRef>
              <c:f>'Equipment Runtime '!$E$8:$E$31</c:f>
              <c:numCache>
                <c:formatCode>General</c:formatCode>
                <c:ptCount val="22"/>
                <c:pt idx="2">
                  <c:v>18.75</c:v>
                </c:pt>
                <c:pt idx="3">
                  <c:v>3.03</c:v>
                </c:pt>
                <c:pt idx="4">
                  <c:v>30.88</c:v>
                </c:pt>
                <c:pt idx="5">
                  <c:v>34.72</c:v>
                </c:pt>
                <c:pt idx="6">
                  <c:v>68.5</c:v>
                </c:pt>
                <c:pt idx="7">
                  <c:v>18.670000000000002</c:v>
                </c:pt>
                <c:pt idx="8">
                  <c:v>3.95</c:v>
                </c:pt>
                <c:pt idx="12">
                  <c:v>31.4</c:v>
                </c:pt>
                <c:pt idx="16">
                  <c:v>24.74</c:v>
                </c:pt>
                <c:pt idx="17">
                  <c:v>0</c:v>
                </c:pt>
                <c:pt idx="18">
                  <c:v>21.36</c:v>
                </c:pt>
                <c:pt idx="21">
                  <c:v>0</c:v>
                </c:pt>
              </c:numCache>
            </c:numRef>
          </c:val>
          <c:extLst>
            <c:ext xmlns:c16="http://schemas.microsoft.com/office/drawing/2014/chart" uri="{C3380CC4-5D6E-409C-BE32-E72D297353CC}">
              <c16:uniqueId val="{000000D9-BBE6-4DBD-B4E0-7F76D7836895}"/>
            </c:ext>
          </c:extLst>
        </c:ser>
        <c:dLbls>
          <c:showLegendKey val="0"/>
          <c:showVal val="0"/>
          <c:showCatName val="0"/>
          <c:showSerName val="0"/>
          <c:showPercent val="0"/>
          <c:showBubbleSize val="0"/>
        </c:dLbls>
        <c:gapWidth val="150"/>
        <c:axId val="895762288"/>
        <c:axId val="895759408"/>
      </c:barChart>
      <c:valAx>
        <c:axId val="8957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62288"/>
        <c:crosses val="autoZero"/>
        <c:crossBetween val="between"/>
      </c:valAx>
      <c:catAx>
        <c:axId val="89576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594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[Hospital_Equipment_Analysis.csv.xlsx]Downtime Analyse!PivotTable3</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a:sp3d/>
        </c:spPr>
        <c:marker>
          <c:symbol val="none"/>
        </c:marker>
      </c:pivotFmt>
      <c:pivotFmt>
        <c:idx val="258"/>
        <c:spPr>
          <a:solidFill>
            <a:schemeClr val="accent1"/>
          </a:solidFill>
          <a:ln>
            <a:noFill/>
          </a:ln>
          <a:effectLst/>
          <a:sp3d/>
        </c:spPr>
        <c:marker>
          <c:symbol val="none"/>
        </c:marker>
      </c:pivotFmt>
      <c:pivotFmt>
        <c:idx val="259"/>
        <c:spPr>
          <a:solidFill>
            <a:schemeClr val="accent1"/>
          </a:solidFill>
          <a:ln>
            <a:noFill/>
          </a:ln>
          <a:effectLst/>
          <a:sp3d/>
        </c:spPr>
        <c:marker>
          <c:symbol val="none"/>
        </c:marker>
      </c:pivotFmt>
      <c:pivotFmt>
        <c:idx val="260"/>
        <c:spPr>
          <a:solidFill>
            <a:schemeClr val="accent1"/>
          </a:solidFill>
          <a:ln>
            <a:noFill/>
          </a:ln>
          <a:effectLst/>
          <a:sp3d/>
        </c:spPr>
        <c:marker>
          <c:symbol val="none"/>
        </c:marker>
      </c:pivotFmt>
      <c:pivotFmt>
        <c:idx val="261"/>
        <c:spPr>
          <a:solidFill>
            <a:schemeClr val="accent1"/>
          </a:solidFill>
          <a:ln>
            <a:noFill/>
          </a:ln>
          <a:effectLst/>
          <a:sp3d/>
        </c:spPr>
        <c:marker>
          <c:symbol val="none"/>
        </c:marker>
      </c:pivotFmt>
      <c:pivotFmt>
        <c:idx val="262"/>
        <c:spPr>
          <a:solidFill>
            <a:schemeClr val="accent1"/>
          </a:solidFill>
          <a:ln>
            <a:noFill/>
          </a:ln>
          <a:effectLst/>
          <a:sp3d/>
        </c:spPr>
        <c:marker>
          <c:symbol val="none"/>
        </c:marker>
      </c:pivotFmt>
      <c:pivotFmt>
        <c:idx val="263"/>
        <c:spPr>
          <a:solidFill>
            <a:schemeClr val="accent1"/>
          </a:solidFill>
          <a:ln>
            <a:noFill/>
          </a:ln>
          <a:effectLst/>
          <a:sp3d/>
        </c:spPr>
        <c:marker>
          <c:symbol val="none"/>
        </c:marker>
      </c:pivotFmt>
      <c:pivotFmt>
        <c:idx val="264"/>
        <c:spPr>
          <a:solidFill>
            <a:schemeClr val="accent1"/>
          </a:solidFill>
          <a:ln>
            <a:noFill/>
          </a:ln>
          <a:effectLst/>
          <a:sp3d/>
        </c:spPr>
        <c:marker>
          <c:symbol val="none"/>
        </c:marker>
      </c:pivotFmt>
      <c:pivotFmt>
        <c:idx val="265"/>
        <c:spPr>
          <a:solidFill>
            <a:schemeClr val="accent1"/>
          </a:solidFill>
          <a:ln>
            <a:noFill/>
          </a:ln>
          <a:effectLst/>
          <a:sp3d/>
        </c:spPr>
        <c:marker>
          <c:symbol val="none"/>
        </c:marker>
      </c:pivotFmt>
      <c:pivotFmt>
        <c:idx val="266"/>
        <c:spPr>
          <a:solidFill>
            <a:schemeClr val="accent1"/>
          </a:solidFill>
          <a:ln>
            <a:noFill/>
          </a:ln>
          <a:effectLst/>
          <a:sp3d/>
        </c:spPr>
        <c:marker>
          <c:symbol val="none"/>
        </c:marker>
      </c:pivotFmt>
      <c:pivotFmt>
        <c:idx val="267"/>
        <c:spPr>
          <a:solidFill>
            <a:schemeClr val="accent1"/>
          </a:solidFill>
          <a:ln>
            <a:noFill/>
          </a:ln>
          <a:effectLst/>
          <a:sp3d/>
        </c:spPr>
        <c:marker>
          <c:symbol val="none"/>
        </c:marker>
      </c:pivotFmt>
      <c:pivotFmt>
        <c:idx val="268"/>
        <c:spPr>
          <a:solidFill>
            <a:schemeClr val="accent1"/>
          </a:solidFill>
          <a:ln>
            <a:noFill/>
          </a:ln>
          <a:effectLst/>
          <a:sp3d/>
        </c:spPr>
        <c:marker>
          <c:symbol val="none"/>
        </c:marker>
      </c:pivotFmt>
      <c:pivotFmt>
        <c:idx val="269"/>
        <c:spPr>
          <a:solidFill>
            <a:schemeClr val="accent1"/>
          </a:solidFill>
          <a:ln>
            <a:noFill/>
          </a:ln>
          <a:effectLst/>
          <a:sp3d/>
        </c:spPr>
        <c:marker>
          <c:symbol val="none"/>
        </c:marker>
      </c:pivotFmt>
      <c:pivotFmt>
        <c:idx val="270"/>
        <c:spPr>
          <a:solidFill>
            <a:schemeClr val="accent1"/>
          </a:solidFill>
          <a:ln>
            <a:noFill/>
          </a:ln>
          <a:effectLst/>
          <a:sp3d/>
        </c:spPr>
        <c:marker>
          <c:symbol val="none"/>
        </c:marker>
      </c:pivotFmt>
      <c:pivotFmt>
        <c:idx val="271"/>
        <c:spPr>
          <a:solidFill>
            <a:schemeClr val="accent1"/>
          </a:solidFill>
          <a:ln>
            <a:noFill/>
          </a:ln>
          <a:effectLst/>
          <a:sp3d/>
        </c:spPr>
        <c:marker>
          <c:symbol val="none"/>
        </c:marker>
      </c:pivotFmt>
      <c:pivotFmt>
        <c:idx val="272"/>
        <c:spPr>
          <a:solidFill>
            <a:schemeClr val="accent1"/>
          </a:solidFill>
          <a:ln>
            <a:noFill/>
          </a:ln>
          <a:effectLst/>
          <a:sp3d/>
        </c:spPr>
        <c:marker>
          <c:symbol val="none"/>
        </c:marker>
      </c:pivotFmt>
      <c:pivotFmt>
        <c:idx val="273"/>
        <c:spPr>
          <a:solidFill>
            <a:schemeClr val="accent1"/>
          </a:solidFill>
          <a:ln>
            <a:noFill/>
          </a:ln>
          <a:effectLst/>
          <a:sp3d/>
        </c:spPr>
        <c:marker>
          <c:symbol val="none"/>
        </c:marker>
      </c:pivotFmt>
      <c:pivotFmt>
        <c:idx val="274"/>
        <c:spPr>
          <a:solidFill>
            <a:schemeClr val="accent1"/>
          </a:solidFill>
          <a:ln>
            <a:noFill/>
          </a:ln>
          <a:effectLst/>
          <a:sp3d/>
        </c:spPr>
        <c:marker>
          <c:symbol val="none"/>
        </c:marker>
      </c:pivotFmt>
      <c:pivotFmt>
        <c:idx val="275"/>
        <c:spPr>
          <a:solidFill>
            <a:schemeClr val="accent1"/>
          </a:solidFill>
          <a:ln>
            <a:noFill/>
          </a:ln>
          <a:effectLst/>
          <a:sp3d/>
        </c:spPr>
        <c:marker>
          <c:symbol val="none"/>
        </c:marker>
      </c:pivotFmt>
      <c:pivotFmt>
        <c:idx val="276"/>
        <c:spPr>
          <a:solidFill>
            <a:schemeClr val="accent1"/>
          </a:solidFill>
          <a:ln>
            <a:noFill/>
          </a:ln>
          <a:effectLst/>
          <a:sp3d/>
        </c:spPr>
        <c:marker>
          <c:symbol val="none"/>
        </c:marker>
      </c:pivotFmt>
      <c:pivotFmt>
        <c:idx val="277"/>
        <c:spPr>
          <a:solidFill>
            <a:schemeClr val="accent1"/>
          </a:solidFill>
          <a:ln>
            <a:noFill/>
          </a:ln>
          <a:effectLst/>
          <a:sp3d/>
        </c:spPr>
        <c:marker>
          <c:symbol val="none"/>
        </c:marker>
      </c:pivotFmt>
      <c:pivotFmt>
        <c:idx val="278"/>
        <c:spPr>
          <a:solidFill>
            <a:schemeClr val="accent1"/>
          </a:solidFill>
          <a:ln>
            <a:noFill/>
          </a:ln>
          <a:effectLst/>
          <a:sp3d/>
        </c:spPr>
        <c:marker>
          <c:symbol val="none"/>
        </c:marker>
      </c:pivotFmt>
      <c:pivotFmt>
        <c:idx val="279"/>
        <c:spPr>
          <a:solidFill>
            <a:schemeClr val="accent1"/>
          </a:solidFill>
          <a:ln>
            <a:noFill/>
          </a:ln>
          <a:effectLst/>
          <a:sp3d/>
        </c:spPr>
        <c:marker>
          <c:symbol val="none"/>
        </c:marker>
      </c:pivotFmt>
      <c:pivotFmt>
        <c:idx val="280"/>
        <c:spPr>
          <a:solidFill>
            <a:schemeClr val="accent1"/>
          </a:solidFill>
          <a:ln>
            <a:noFill/>
          </a:ln>
          <a:effectLst/>
          <a:sp3d/>
        </c:spPr>
        <c:marker>
          <c:symbol val="none"/>
        </c:marker>
      </c:pivotFmt>
      <c:pivotFmt>
        <c:idx val="281"/>
        <c:spPr>
          <a:solidFill>
            <a:schemeClr val="accent1"/>
          </a:solidFill>
          <a:ln>
            <a:noFill/>
          </a:ln>
          <a:effectLst/>
          <a:sp3d/>
        </c:spPr>
        <c:marker>
          <c:symbol val="none"/>
        </c:marker>
      </c:pivotFmt>
      <c:pivotFmt>
        <c:idx val="282"/>
        <c:spPr>
          <a:solidFill>
            <a:schemeClr val="accent1"/>
          </a:solidFill>
          <a:ln>
            <a:noFill/>
          </a:ln>
          <a:effectLst/>
          <a:sp3d/>
        </c:spPr>
        <c:marker>
          <c:symbol val="none"/>
        </c:marker>
      </c:pivotFmt>
      <c:pivotFmt>
        <c:idx val="283"/>
        <c:spPr>
          <a:solidFill>
            <a:schemeClr val="accent1"/>
          </a:solidFill>
          <a:ln>
            <a:noFill/>
          </a:ln>
          <a:effectLst/>
          <a:sp3d/>
        </c:spPr>
        <c:marker>
          <c:symbol val="none"/>
        </c:marker>
      </c:pivotFmt>
      <c:pivotFmt>
        <c:idx val="284"/>
        <c:spPr>
          <a:solidFill>
            <a:schemeClr val="accent1"/>
          </a:solidFill>
          <a:ln>
            <a:noFill/>
          </a:ln>
          <a:effectLst/>
          <a:sp3d/>
        </c:spPr>
        <c:marker>
          <c:symbol val="none"/>
        </c:marker>
      </c:pivotFmt>
      <c:pivotFmt>
        <c:idx val="285"/>
        <c:spPr>
          <a:solidFill>
            <a:schemeClr val="accent1"/>
          </a:solidFill>
          <a:ln>
            <a:noFill/>
          </a:ln>
          <a:effectLst/>
          <a:sp3d/>
        </c:spPr>
        <c:marker>
          <c:symbol val="none"/>
        </c:marker>
      </c:pivotFmt>
      <c:pivotFmt>
        <c:idx val="286"/>
        <c:spPr>
          <a:solidFill>
            <a:schemeClr val="accent1"/>
          </a:solidFill>
          <a:ln>
            <a:noFill/>
          </a:ln>
          <a:effectLst/>
          <a:sp3d/>
        </c:spPr>
        <c:marker>
          <c:symbol val="none"/>
        </c:marker>
      </c:pivotFmt>
      <c:pivotFmt>
        <c:idx val="287"/>
        <c:spPr>
          <a:solidFill>
            <a:schemeClr val="accent1"/>
          </a:solidFill>
          <a:ln>
            <a:noFill/>
          </a:ln>
          <a:effectLst/>
          <a:sp3d/>
        </c:spPr>
        <c:marker>
          <c:symbol val="none"/>
        </c:marker>
      </c:pivotFmt>
      <c:pivotFmt>
        <c:idx val="288"/>
        <c:spPr>
          <a:solidFill>
            <a:schemeClr val="accent1"/>
          </a:solidFill>
          <a:ln>
            <a:noFill/>
          </a:ln>
          <a:effectLst/>
          <a:sp3d/>
        </c:spPr>
        <c:marker>
          <c:symbol val="none"/>
        </c:marker>
      </c:pivotFmt>
      <c:pivotFmt>
        <c:idx val="289"/>
        <c:spPr>
          <a:solidFill>
            <a:schemeClr val="accent1"/>
          </a:solidFill>
          <a:ln>
            <a:noFill/>
          </a:ln>
          <a:effectLst/>
          <a:sp3d/>
        </c:spPr>
        <c:marker>
          <c:symbol val="none"/>
        </c:marker>
      </c:pivotFmt>
      <c:pivotFmt>
        <c:idx val="290"/>
        <c:spPr>
          <a:solidFill>
            <a:schemeClr val="accent1"/>
          </a:solidFill>
          <a:ln>
            <a:noFill/>
          </a:ln>
          <a:effectLst/>
          <a:sp3d/>
        </c:spPr>
        <c:marker>
          <c:symbol val="none"/>
        </c:marker>
      </c:pivotFmt>
      <c:pivotFmt>
        <c:idx val="291"/>
        <c:spPr>
          <a:solidFill>
            <a:schemeClr val="accent1"/>
          </a:solidFill>
          <a:ln>
            <a:noFill/>
          </a:ln>
          <a:effectLst/>
          <a:sp3d/>
        </c:spPr>
        <c:marker>
          <c:symbol val="none"/>
        </c:marker>
      </c:pivotFmt>
      <c:pivotFmt>
        <c:idx val="292"/>
        <c:spPr>
          <a:solidFill>
            <a:schemeClr val="accent1"/>
          </a:solidFill>
          <a:ln>
            <a:noFill/>
          </a:ln>
          <a:effectLst/>
          <a:sp3d/>
        </c:spPr>
        <c:marker>
          <c:symbol val="none"/>
        </c:marker>
      </c:pivotFmt>
      <c:pivotFmt>
        <c:idx val="293"/>
        <c:spPr>
          <a:solidFill>
            <a:schemeClr val="accent1"/>
          </a:solidFill>
          <a:ln>
            <a:noFill/>
          </a:ln>
          <a:effectLst/>
          <a:sp3d/>
        </c:spPr>
        <c:marker>
          <c:symbol val="none"/>
        </c:marker>
      </c:pivotFmt>
      <c:pivotFmt>
        <c:idx val="294"/>
        <c:spPr>
          <a:solidFill>
            <a:schemeClr val="accent1"/>
          </a:solidFill>
          <a:ln>
            <a:noFill/>
          </a:ln>
          <a:effectLst/>
          <a:sp3d/>
        </c:spPr>
        <c:marker>
          <c:symbol val="none"/>
        </c:marker>
      </c:pivotFmt>
      <c:pivotFmt>
        <c:idx val="295"/>
        <c:spPr>
          <a:solidFill>
            <a:schemeClr val="accent1"/>
          </a:solidFill>
          <a:ln>
            <a:noFill/>
          </a:ln>
          <a:effectLst/>
          <a:sp3d/>
        </c:spPr>
        <c:marker>
          <c:symbol val="none"/>
        </c:marker>
      </c:pivotFmt>
      <c:pivotFmt>
        <c:idx val="296"/>
        <c:spPr>
          <a:solidFill>
            <a:schemeClr val="accent1"/>
          </a:solidFill>
          <a:ln>
            <a:noFill/>
          </a:ln>
          <a:effectLst/>
          <a:sp3d/>
        </c:spPr>
        <c:marker>
          <c:symbol val="none"/>
        </c:marker>
      </c:pivotFmt>
      <c:pivotFmt>
        <c:idx val="297"/>
        <c:spPr>
          <a:solidFill>
            <a:schemeClr val="accent1"/>
          </a:solidFill>
          <a:ln>
            <a:noFill/>
          </a:ln>
          <a:effectLst/>
          <a:sp3d/>
        </c:spPr>
        <c:marker>
          <c:symbol val="none"/>
        </c:marker>
      </c:pivotFmt>
      <c:pivotFmt>
        <c:idx val="298"/>
        <c:spPr>
          <a:solidFill>
            <a:schemeClr val="accent1"/>
          </a:solidFill>
          <a:ln>
            <a:noFill/>
          </a:ln>
          <a:effectLst/>
          <a:sp3d/>
        </c:spPr>
        <c:marker>
          <c:symbol val="none"/>
        </c:marker>
      </c:pivotFmt>
      <c:pivotFmt>
        <c:idx val="299"/>
        <c:spPr>
          <a:solidFill>
            <a:schemeClr val="accent1"/>
          </a:solidFill>
          <a:ln>
            <a:noFill/>
          </a:ln>
          <a:effectLst/>
          <a:sp3d/>
        </c:spPr>
        <c:marker>
          <c:symbol val="none"/>
        </c:marker>
      </c:pivotFmt>
      <c:pivotFmt>
        <c:idx val="300"/>
        <c:spPr>
          <a:solidFill>
            <a:schemeClr val="accent1"/>
          </a:solidFill>
          <a:ln>
            <a:noFill/>
          </a:ln>
          <a:effectLst/>
          <a:sp3d/>
        </c:spPr>
        <c:marker>
          <c:symbol val="none"/>
        </c:marker>
      </c:pivotFmt>
      <c:pivotFmt>
        <c:idx val="301"/>
        <c:spPr>
          <a:solidFill>
            <a:schemeClr val="accent1"/>
          </a:solidFill>
          <a:ln>
            <a:noFill/>
          </a:ln>
          <a:effectLst/>
          <a:sp3d/>
        </c:spPr>
        <c:marker>
          <c:symbol val="none"/>
        </c:marker>
      </c:pivotFmt>
      <c:pivotFmt>
        <c:idx val="302"/>
        <c:spPr>
          <a:solidFill>
            <a:schemeClr val="accent1"/>
          </a:solidFill>
          <a:ln>
            <a:noFill/>
          </a:ln>
          <a:effectLst/>
          <a:sp3d/>
        </c:spPr>
        <c:marker>
          <c:symbol val="none"/>
        </c:marker>
      </c:pivotFmt>
      <c:pivotFmt>
        <c:idx val="303"/>
        <c:spPr>
          <a:solidFill>
            <a:schemeClr val="accent1"/>
          </a:solidFill>
          <a:ln>
            <a:noFill/>
          </a:ln>
          <a:effectLst/>
          <a:sp3d/>
        </c:spPr>
        <c:marker>
          <c:symbol val="none"/>
        </c:marker>
      </c:pivotFmt>
      <c:pivotFmt>
        <c:idx val="304"/>
        <c:spPr>
          <a:solidFill>
            <a:schemeClr val="accent1"/>
          </a:solidFill>
          <a:ln>
            <a:noFill/>
          </a:ln>
          <a:effectLst/>
          <a:sp3d/>
        </c:spPr>
        <c:marker>
          <c:symbol val="none"/>
        </c:marker>
      </c:pivotFmt>
      <c:pivotFmt>
        <c:idx val="305"/>
        <c:spPr>
          <a:solidFill>
            <a:schemeClr val="accent1"/>
          </a:solidFill>
          <a:ln>
            <a:noFill/>
          </a:ln>
          <a:effectLst/>
          <a:sp3d/>
        </c:spPr>
        <c:marker>
          <c:symbol val="none"/>
        </c:marker>
      </c:pivotFmt>
      <c:pivotFmt>
        <c:idx val="306"/>
        <c:spPr>
          <a:solidFill>
            <a:schemeClr val="accent1"/>
          </a:solidFill>
          <a:ln>
            <a:noFill/>
          </a:ln>
          <a:effectLst/>
          <a:sp3d/>
        </c:spPr>
        <c:marker>
          <c:symbol val="none"/>
        </c:marker>
      </c:pivotFmt>
      <c:pivotFmt>
        <c:idx val="307"/>
        <c:spPr>
          <a:solidFill>
            <a:schemeClr val="accent1"/>
          </a:solidFill>
          <a:ln>
            <a:noFill/>
          </a:ln>
          <a:effectLst/>
          <a:sp3d/>
        </c:spPr>
        <c:marker>
          <c:symbol val="none"/>
        </c:marker>
      </c:pivotFmt>
      <c:pivotFmt>
        <c:idx val="308"/>
        <c:spPr>
          <a:solidFill>
            <a:schemeClr val="accent1"/>
          </a:solidFill>
          <a:ln>
            <a:noFill/>
          </a:ln>
          <a:effectLst/>
          <a:sp3d/>
        </c:spPr>
        <c:marker>
          <c:symbol val="none"/>
        </c:marker>
      </c:pivotFmt>
      <c:pivotFmt>
        <c:idx val="309"/>
        <c:spPr>
          <a:solidFill>
            <a:schemeClr val="accent1"/>
          </a:solidFill>
          <a:ln>
            <a:noFill/>
          </a:ln>
          <a:effectLst/>
          <a:sp3d/>
        </c:spPr>
        <c:marker>
          <c:symbol val="none"/>
        </c:marker>
      </c:pivotFmt>
      <c:pivotFmt>
        <c:idx val="310"/>
        <c:spPr>
          <a:solidFill>
            <a:schemeClr val="accent1"/>
          </a:solidFill>
          <a:ln>
            <a:noFill/>
          </a:ln>
          <a:effectLst/>
          <a:sp3d/>
        </c:spPr>
        <c:marker>
          <c:symbol val="none"/>
        </c:marker>
      </c:pivotFmt>
      <c:pivotFmt>
        <c:idx val="311"/>
        <c:spPr>
          <a:solidFill>
            <a:schemeClr val="accent1"/>
          </a:solidFill>
          <a:ln>
            <a:noFill/>
          </a:ln>
          <a:effectLst/>
          <a:sp3d/>
        </c:spPr>
        <c:marker>
          <c:symbol val="none"/>
        </c:marker>
      </c:pivotFmt>
      <c:pivotFmt>
        <c:idx val="312"/>
        <c:spPr>
          <a:solidFill>
            <a:schemeClr val="accent1"/>
          </a:solidFill>
          <a:ln>
            <a:noFill/>
          </a:ln>
          <a:effectLst/>
          <a:sp3d/>
        </c:spPr>
        <c:marker>
          <c:symbol val="none"/>
        </c:marker>
      </c:pivotFmt>
      <c:pivotFmt>
        <c:idx val="313"/>
        <c:spPr>
          <a:solidFill>
            <a:schemeClr val="accent1"/>
          </a:solidFill>
          <a:ln>
            <a:noFill/>
          </a:ln>
          <a:effectLst/>
          <a:sp3d/>
        </c:spPr>
        <c:marker>
          <c:symbol val="none"/>
        </c:marker>
      </c:pivotFmt>
      <c:pivotFmt>
        <c:idx val="314"/>
        <c:spPr>
          <a:solidFill>
            <a:schemeClr val="accent1"/>
          </a:solidFill>
          <a:ln>
            <a:noFill/>
          </a:ln>
          <a:effectLst/>
          <a:sp3d/>
        </c:spPr>
        <c:marker>
          <c:symbol val="none"/>
        </c:marker>
      </c:pivotFmt>
      <c:pivotFmt>
        <c:idx val="315"/>
        <c:spPr>
          <a:solidFill>
            <a:schemeClr val="accent1"/>
          </a:solidFill>
          <a:ln>
            <a:noFill/>
          </a:ln>
          <a:effectLst/>
          <a:sp3d/>
        </c:spPr>
        <c:marker>
          <c:symbol val="none"/>
        </c:marker>
      </c:pivotFmt>
      <c:pivotFmt>
        <c:idx val="316"/>
        <c:spPr>
          <a:solidFill>
            <a:schemeClr val="accent1"/>
          </a:solidFill>
          <a:ln>
            <a:noFill/>
          </a:ln>
          <a:effectLst/>
          <a:sp3d/>
        </c:spPr>
        <c:marker>
          <c:symbol val="none"/>
        </c:marker>
      </c:pivotFmt>
      <c:pivotFmt>
        <c:idx val="317"/>
        <c:spPr>
          <a:solidFill>
            <a:schemeClr val="accent1"/>
          </a:solidFill>
          <a:ln>
            <a:noFill/>
          </a:ln>
          <a:effectLst/>
          <a:sp3d/>
        </c:spPr>
        <c:marker>
          <c:symbol val="none"/>
        </c:marker>
      </c:pivotFmt>
      <c:pivotFmt>
        <c:idx val="318"/>
        <c:spPr>
          <a:solidFill>
            <a:schemeClr val="accent1"/>
          </a:solidFill>
          <a:ln>
            <a:noFill/>
          </a:ln>
          <a:effectLst/>
          <a:sp3d/>
        </c:spPr>
        <c:marker>
          <c:symbol val="none"/>
        </c:marker>
      </c:pivotFmt>
      <c:pivotFmt>
        <c:idx val="319"/>
        <c:spPr>
          <a:solidFill>
            <a:schemeClr val="accent1"/>
          </a:solidFill>
          <a:ln>
            <a:noFill/>
          </a:ln>
          <a:effectLst/>
          <a:sp3d/>
        </c:spPr>
        <c:marker>
          <c:symbol val="none"/>
        </c:marker>
      </c:pivotFmt>
      <c:pivotFmt>
        <c:idx val="320"/>
        <c:spPr>
          <a:solidFill>
            <a:schemeClr val="accent1"/>
          </a:solidFill>
          <a:ln>
            <a:noFill/>
          </a:ln>
          <a:effectLst/>
          <a:sp3d/>
        </c:spPr>
        <c:marker>
          <c:symbol val="none"/>
        </c:marker>
      </c:pivotFmt>
      <c:pivotFmt>
        <c:idx val="321"/>
        <c:spPr>
          <a:solidFill>
            <a:schemeClr val="accent1"/>
          </a:solidFill>
          <a:ln>
            <a:noFill/>
          </a:ln>
          <a:effectLst/>
          <a:sp3d/>
        </c:spPr>
        <c:marker>
          <c:symbol val="none"/>
        </c:marker>
      </c:pivotFmt>
      <c:pivotFmt>
        <c:idx val="322"/>
        <c:spPr>
          <a:solidFill>
            <a:schemeClr val="accent1"/>
          </a:solidFill>
          <a:ln>
            <a:noFill/>
          </a:ln>
          <a:effectLst/>
          <a:sp3d/>
        </c:spPr>
        <c:marker>
          <c:symbol val="none"/>
        </c:marker>
      </c:pivotFmt>
      <c:pivotFmt>
        <c:idx val="323"/>
        <c:spPr>
          <a:solidFill>
            <a:schemeClr val="accent1"/>
          </a:solidFill>
          <a:ln>
            <a:noFill/>
          </a:ln>
          <a:effectLst/>
          <a:sp3d/>
        </c:spPr>
        <c:marker>
          <c:symbol val="none"/>
        </c:marker>
      </c:pivotFmt>
      <c:pivotFmt>
        <c:idx val="324"/>
        <c:spPr>
          <a:solidFill>
            <a:schemeClr val="accent1"/>
          </a:solidFill>
          <a:ln>
            <a:noFill/>
          </a:ln>
          <a:effectLst/>
          <a:sp3d/>
        </c:spPr>
        <c:marker>
          <c:symbol val="none"/>
        </c:marker>
      </c:pivotFmt>
      <c:pivotFmt>
        <c:idx val="325"/>
        <c:spPr>
          <a:solidFill>
            <a:schemeClr val="accent1"/>
          </a:solidFill>
          <a:ln>
            <a:noFill/>
          </a:ln>
          <a:effectLst/>
          <a:sp3d/>
        </c:spPr>
        <c:marker>
          <c:symbol val="none"/>
        </c:marker>
      </c:pivotFmt>
      <c:pivotFmt>
        <c:idx val="326"/>
        <c:spPr>
          <a:solidFill>
            <a:schemeClr val="accent1"/>
          </a:solidFill>
          <a:ln>
            <a:noFill/>
          </a:ln>
          <a:effectLst/>
          <a:sp3d/>
        </c:spPr>
        <c:marker>
          <c:symbol val="none"/>
        </c:marker>
      </c:pivotFmt>
      <c:pivotFmt>
        <c:idx val="327"/>
        <c:spPr>
          <a:solidFill>
            <a:schemeClr val="accent1"/>
          </a:solidFill>
          <a:ln>
            <a:noFill/>
          </a:ln>
          <a:effectLst/>
          <a:sp3d/>
        </c:spPr>
        <c:marker>
          <c:symbol val="none"/>
        </c:marker>
      </c:pivotFmt>
      <c:pivotFmt>
        <c:idx val="328"/>
        <c:spPr>
          <a:solidFill>
            <a:schemeClr val="accent1"/>
          </a:solidFill>
          <a:ln>
            <a:noFill/>
          </a:ln>
          <a:effectLst/>
          <a:sp3d/>
        </c:spPr>
        <c:marker>
          <c:symbol val="none"/>
        </c:marker>
      </c:pivotFmt>
      <c:pivotFmt>
        <c:idx val="329"/>
        <c:spPr>
          <a:solidFill>
            <a:schemeClr val="accent1"/>
          </a:solidFill>
          <a:ln>
            <a:noFill/>
          </a:ln>
          <a:effectLst/>
          <a:sp3d/>
        </c:spPr>
        <c:marker>
          <c:symbol val="none"/>
        </c:marker>
      </c:pivotFmt>
      <c:pivotFmt>
        <c:idx val="330"/>
        <c:spPr>
          <a:solidFill>
            <a:schemeClr val="accent1"/>
          </a:solidFill>
          <a:ln>
            <a:noFill/>
          </a:ln>
          <a:effectLst/>
          <a:sp3d/>
        </c:spPr>
        <c:marker>
          <c:symbol val="none"/>
        </c:marker>
      </c:pivotFmt>
      <c:pivotFmt>
        <c:idx val="331"/>
        <c:spPr>
          <a:solidFill>
            <a:schemeClr val="accent1"/>
          </a:solidFill>
          <a:ln>
            <a:noFill/>
          </a:ln>
          <a:effectLst/>
          <a:sp3d/>
        </c:spPr>
        <c:marker>
          <c:symbol val="none"/>
        </c:marker>
      </c:pivotFmt>
      <c:pivotFmt>
        <c:idx val="332"/>
        <c:spPr>
          <a:solidFill>
            <a:schemeClr val="accent1"/>
          </a:solidFill>
          <a:ln>
            <a:noFill/>
          </a:ln>
          <a:effectLst/>
          <a:sp3d/>
        </c:spPr>
        <c:marker>
          <c:symbol val="none"/>
        </c:marker>
      </c:pivotFmt>
      <c:pivotFmt>
        <c:idx val="333"/>
        <c:spPr>
          <a:solidFill>
            <a:schemeClr val="accent1"/>
          </a:solidFill>
          <a:ln>
            <a:noFill/>
          </a:ln>
          <a:effectLst/>
          <a:sp3d/>
        </c:spPr>
        <c:marker>
          <c:symbol val="none"/>
        </c:marker>
      </c:pivotFmt>
      <c:pivotFmt>
        <c:idx val="334"/>
        <c:spPr>
          <a:solidFill>
            <a:schemeClr val="accent1"/>
          </a:solidFill>
          <a:ln>
            <a:noFill/>
          </a:ln>
          <a:effectLst/>
          <a:sp3d/>
        </c:spPr>
        <c:marker>
          <c:symbol val="none"/>
        </c:marker>
      </c:pivotFmt>
      <c:pivotFmt>
        <c:idx val="335"/>
        <c:spPr>
          <a:solidFill>
            <a:schemeClr val="accent1"/>
          </a:solidFill>
          <a:ln>
            <a:noFill/>
          </a:ln>
          <a:effectLst/>
          <a:sp3d/>
        </c:spPr>
        <c:marker>
          <c:symbol val="none"/>
        </c:marker>
      </c:pivotFmt>
      <c:pivotFmt>
        <c:idx val="336"/>
        <c:spPr>
          <a:solidFill>
            <a:schemeClr val="accent1"/>
          </a:solidFill>
          <a:ln>
            <a:noFill/>
          </a:ln>
          <a:effectLst/>
          <a:sp3d/>
        </c:spPr>
        <c:marker>
          <c:symbol val="none"/>
        </c:marker>
      </c:pivotFmt>
      <c:pivotFmt>
        <c:idx val="337"/>
        <c:spPr>
          <a:solidFill>
            <a:schemeClr val="accent1"/>
          </a:solidFill>
          <a:ln>
            <a:noFill/>
          </a:ln>
          <a:effectLst/>
          <a:sp3d/>
        </c:spPr>
        <c:marker>
          <c:symbol val="none"/>
        </c:marker>
      </c:pivotFmt>
      <c:pivotFmt>
        <c:idx val="338"/>
        <c:spPr>
          <a:solidFill>
            <a:schemeClr val="accent1"/>
          </a:solidFill>
          <a:ln>
            <a:noFill/>
          </a:ln>
          <a:effectLst/>
          <a:sp3d/>
        </c:spPr>
        <c:marker>
          <c:symbol val="none"/>
        </c:marker>
      </c:pivotFmt>
      <c:pivotFmt>
        <c:idx val="339"/>
        <c:spPr>
          <a:solidFill>
            <a:schemeClr val="accent1"/>
          </a:solidFill>
          <a:ln>
            <a:noFill/>
          </a:ln>
          <a:effectLst/>
          <a:sp3d/>
        </c:spPr>
        <c:marker>
          <c:symbol val="none"/>
        </c:marker>
      </c:pivotFmt>
      <c:pivotFmt>
        <c:idx val="340"/>
        <c:spPr>
          <a:solidFill>
            <a:schemeClr val="accent1"/>
          </a:solidFill>
          <a:ln>
            <a:noFill/>
          </a:ln>
          <a:effectLst/>
          <a:sp3d/>
        </c:spPr>
        <c:marker>
          <c:symbol val="none"/>
        </c:marker>
      </c:pivotFmt>
      <c:pivotFmt>
        <c:idx val="341"/>
        <c:spPr>
          <a:solidFill>
            <a:schemeClr val="accent1"/>
          </a:solidFill>
          <a:ln>
            <a:noFill/>
          </a:ln>
          <a:effectLst/>
          <a:sp3d/>
        </c:spPr>
        <c:marker>
          <c:symbol val="none"/>
        </c:marker>
      </c:pivotFmt>
      <c:pivotFmt>
        <c:idx val="342"/>
        <c:spPr>
          <a:solidFill>
            <a:schemeClr val="accent1"/>
          </a:solidFill>
          <a:ln>
            <a:noFill/>
          </a:ln>
          <a:effectLst/>
          <a:sp3d/>
        </c:spPr>
        <c:marker>
          <c:symbol val="none"/>
        </c:marker>
      </c:pivotFmt>
      <c:pivotFmt>
        <c:idx val="343"/>
        <c:spPr>
          <a:solidFill>
            <a:schemeClr val="accent1"/>
          </a:solidFill>
          <a:ln>
            <a:noFill/>
          </a:ln>
          <a:effectLst/>
          <a:sp3d/>
        </c:spPr>
        <c:marker>
          <c:symbol val="none"/>
        </c:marker>
      </c:pivotFmt>
      <c:pivotFmt>
        <c:idx val="344"/>
        <c:spPr>
          <a:solidFill>
            <a:schemeClr val="accent1"/>
          </a:solidFill>
          <a:ln>
            <a:noFill/>
          </a:ln>
          <a:effectLst/>
          <a:sp3d/>
        </c:spPr>
        <c:marker>
          <c:symbol val="none"/>
        </c:marker>
      </c:pivotFmt>
      <c:pivotFmt>
        <c:idx val="345"/>
        <c:spPr>
          <a:solidFill>
            <a:schemeClr val="accent1"/>
          </a:solidFill>
          <a:ln>
            <a:noFill/>
          </a:ln>
          <a:effectLst/>
          <a:sp3d/>
        </c:spPr>
        <c:marker>
          <c:symbol val="none"/>
        </c:marker>
      </c:pivotFmt>
      <c:pivotFmt>
        <c:idx val="346"/>
        <c:spPr>
          <a:solidFill>
            <a:schemeClr val="accent1"/>
          </a:solidFill>
          <a:ln>
            <a:noFill/>
          </a:ln>
          <a:effectLst/>
          <a:sp3d/>
        </c:spPr>
        <c:marker>
          <c:symbol val="none"/>
        </c:marker>
      </c:pivotFmt>
      <c:pivotFmt>
        <c:idx val="347"/>
        <c:spPr>
          <a:solidFill>
            <a:schemeClr val="accent1"/>
          </a:solidFill>
          <a:ln>
            <a:noFill/>
          </a:ln>
          <a:effectLst/>
          <a:sp3d/>
        </c:spPr>
        <c:marker>
          <c:symbol val="none"/>
        </c:marker>
      </c:pivotFmt>
      <c:pivotFmt>
        <c:idx val="348"/>
        <c:spPr>
          <a:solidFill>
            <a:schemeClr val="accent1"/>
          </a:solidFill>
          <a:ln>
            <a:noFill/>
          </a:ln>
          <a:effectLst/>
          <a:sp3d/>
        </c:spPr>
        <c:marker>
          <c:symbol val="none"/>
        </c:marker>
      </c:pivotFmt>
      <c:pivotFmt>
        <c:idx val="349"/>
        <c:spPr>
          <a:solidFill>
            <a:schemeClr val="accent1"/>
          </a:solidFill>
          <a:ln>
            <a:noFill/>
          </a:ln>
          <a:effectLst/>
          <a:sp3d/>
        </c:spPr>
        <c:marker>
          <c:symbol val="none"/>
        </c:marker>
      </c:pivotFmt>
      <c:pivotFmt>
        <c:idx val="350"/>
        <c:spPr>
          <a:solidFill>
            <a:schemeClr val="accent1"/>
          </a:solidFill>
          <a:ln>
            <a:noFill/>
          </a:ln>
          <a:effectLst/>
          <a:sp3d/>
        </c:spPr>
        <c:marker>
          <c:symbol val="none"/>
        </c:marker>
      </c:pivotFmt>
      <c:pivotFmt>
        <c:idx val="351"/>
        <c:spPr>
          <a:solidFill>
            <a:schemeClr val="accent1"/>
          </a:solidFill>
          <a:ln>
            <a:noFill/>
          </a:ln>
          <a:effectLst/>
          <a:sp3d/>
        </c:spPr>
        <c:marker>
          <c:symbol val="none"/>
        </c:marker>
      </c:pivotFmt>
      <c:pivotFmt>
        <c:idx val="352"/>
        <c:spPr>
          <a:solidFill>
            <a:schemeClr val="accent1"/>
          </a:solidFill>
          <a:ln>
            <a:noFill/>
          </a:ln>
          <a:effectLst/>
          <a:sp3d/>
        </c:spPr>
        <c:marker>
          <c:symbol val="none"/>
        </c:marker>
      </c:pivotFmt>
      <c:pivotFmt>
        <c:idx val="353"/>
        <c:spPr>
          <a:solidFill>
            <a:schemeClr val="accent1"/>
          </a:solidFill>
          <a:ln>
            <a:noFill/>
          </a:ln>
          <a:effectLst/>
          <a:sp3d/>
        </c:spPr>
        <c:marker>
          <c:symbol val="none"/>
        </c:marker>
      </c:pivotFmt>
      <c:pivotFmt>
        <c:idx val="354"/>
        <c:spPr>
          <a:solidFill>
            <a:schemeClr val="accent1"/>
          </a:solidFill>
          <a:ln>
            <a:noFill/>
          </a:ln>
          <a:effectLst/>
          <a:sp3d/>
        </c:spPr>
        <c:marker>
          <c:symbol val="none"/>
        </c:marker>
      </c:pivotFmt>
      <c:pivotFmt>
        <c:idx val="355"/>
        <c:spPr>
          <a:solidFill>
            <a:schemeClr val="accent1"/>
          </a:solidFill>
          <a:ln>
            <a:noFill/>
          </a:ln>
          <a:effectLst/>
          <a:sp3d/>
        </c:spPr>
        <c:marker>
          <c:symbol val="none"/>
        </c:marker>
      </c:pivotFmt>
      <c:pivotFmt>
        <c:idx val="356"/>
        <c:spPr>
          <a:solidFill>
            <a:schemeClr val="accent1"/>
          </a:solidFill>
          <a:ln>
            <a:noFill/>
          </a:ln>
          <a:effectLst/>
          <a:sp3d/>
        </c:spPr>
        <c:marker>
          <c:symbol val="none"/>
        </c:marker>
      </c:pivotFmt>
      <c:pivotFmt>
        <c:idx val="357"/>
        <c:spPr>
          <a:solidFill>
            <a:schemeClr val="accent1"/>
          </a:solidFill>
          <a:ln>
            <a:noFill/>
          </a:ln>
          <a:effectLst/>
          <a:sp3d/>
        </c:spPr>
        <c:marker>
          <c:symbol val="none"/>
        </c:marker>
      </c:pivotFmt>
      <c:pivotFmt>
        <c:idx val="358"/>
        <c:spPr>
          <a:solidFill>
            <a:schemeClr val="accent1"/>
          </a:solidFill>
          <a:ln>
            <a:noFill/>
          </a:ln>
          <a:effectLst/>
          <a:sp3d/>
        </c:spPr>
        <c:marker>
          <c:symbol val="none"/>
        </c:marker>
      </c:pivotFmt>
      <c:pivotFmt>
        <c:idx val="359"/>
        <c:spPr>
          <a:solidFill>
            <a:schemeClr val="accent1"/>
          </a:solidFill>
          <a:ln>
            <a:noFill/>
          </a:ln>
          <a:effectLst/>
          <a:sp3d/>
        </c:spPr>
        <c:marker>
          <c:symbol val="none"/>
        </c:marker>
      </c:pivotFmt>
      <c:pivotFmt>
        <c:idx val="360"/>
        <c:spPr>
          <a:solidFill>
            <a:schemeClr val="accent1"/>
          </a:solidFill>
          <a:ln>
            <a:noFill/>
          </a:ln>
          <a:effectLst/>
          <a:sp3d/>
        </c:spPr>
        <c:marker>
          <c:symbol val="none"/>
        </c:marker>
      </c:pivotFmt>
      <c:pivotFmt>
        <c:idx val="361"/>
        <c:spPr>
          <a:solidFill>
            <a:schemeClr val="accent1"/>
          </a:solidFill>
          <a:ln>
            <a:noFill/>
          </a:ln>
          <a:effectLst/>
          <a:sp3d/>
        </c:spPr>
        <c:marker>
          <c:symbol val="none"/>
        </c:marker>
      </c:pivotFmt>
      <c:pivotFmt>
        <c:idx val="362"/>
        <c:spPr>
          <a:solidFill>
            <a:schemeClr val="accent1"/>
          </a:solidFill>
          <a:ln>
            <a:noFill/>
          </a:ln>
          <a:effectLst/>
          <a:sp3d/>
        </c:spPr>
        <c:marker>
          <c:symbol val="none"/>
        </c:marker>
      </c:pivotFmt>
      <c:pivotFmt>
        <c:idx val="363"/>
        <c:spPr>
          <a:solidFill>
            <a:schemeClr val="accent1"/>
          </a:solidFill>
          <a:ln>
            <a:noFill/>
          </a:ln>
          <a:effectLst/>
          <a:sp3d/>
        </c:spPr>
        <c:marker>
          <c:symbol val="none"/>
        </c:marker>
      </c:pivotFmt>
      <c:pivotFmt>
        <c:idx val="364"/>
        <c:spPr>
          <a:solidFill>
            <a:schemeClr val="accent1"/>
          </a:solidFill>
          <a:ln>
            <a:noFill/>
          </a:ln>
          <a:effectLst/>
          <a:sp3d/>
        </c:spPr>
        <c:marker>
          <c:symbol val="none"/>
        </c:marker>
      </c:pivotFmt>
      <c:pivotFmt>
        <c:idx val="365"/>
        <c:spPr>
          <a:solidFill>
            <a:schemeClr val="accent1"/>
          </a:solidFill>
          <a:ln>
            <a:noFill/>
          </a:ln>
          <a:effectLst/>
          <a:sp3d/>
        </c:spPr>
        <c:marker>
          <c:symbol val="none"/>
        </c:marker>
      </c:pivotFmt>
      <c:pivotFmt>
        <c:idx val="366"/>
        <c:spPr>
          <a:solidFill>
            <a:schemeClr val="accent1"/>
          </a:solidFill>
          <a:ln>
            <a:noFill/>
          </a:ln>
          <a:effectLst/>
          <a:sp3d/>
        </c:spPr>
        <c:marker>
          <c:symbol val="none"/>
        </c:marker>
      </c:pivotFmt>
      <c:pivotFmt>
        <c:idx val="367"/>
        <c:spPr>
          <a:solidFill>
            <a:schemeClr val="accent1"/>
          </a:solidFill>
          <a:ln>
            <a:noFill/>
          </a:ln>
          <a:effectLst/>
          <a:sp3d/>
        </c:spPr>
        <c:marker>
          <c:symbol val="none"/>
        </c:marker>
      </c:pivotFmt>
      <c:pivotFmt>
        <c:idx val="368"/>
        <c:spPr>
          <a:solidFill>
            <a:schemeClr val="accent1"/>
          </a:solidFill>
          <a:ln>
            <a:noFill/>
          </a:ln>
          <a:effectLst/>
          <a:sp3d/>
        </c:spPr>
        <c:marker>
          <c:symbol val="none"/>
        </c:marker>
      </c:pivotFmt>
      <c:pivotFmt>
        <c:idx val="369"/>
        <c:spPr>
          <a:solidFill>
            <a:schemeClr val="accent1"/>
          </a:solidFill>
          <a:ln>
            <a:noFill/>
          </a:ln>
          <a:effectLst/>
          <a:sp3d/>
        </c:spPr>
        <c:marker>
          <c:symbol val="none"/>
        </c:marker>
      </c:pivotFmt>
      <c:pivotFmt>
        <c:idx val="370"/>
        <c:spPr>
          <a:solidFill>
            <a:schemeClr val="accent1"/>
          </a:solidFill>
          <a:ln>
            <a:noFill/>
          </a:ln>
          <a:effectLst/>
          <a:sp3d/>
        </c:spPr>
        <c:marker>
          <c:symbol val="none"/>
        </c:marker>
      </c:pivotFmt>
      <c:pivotFmt>
        <c:idx val="371"/>
        <c:spPr>
          <a:solidFill>
            <a:schemeClr val="accent1"/>
          </a:solidFill>
          <a:ln>
            <a:noFill/>
          </a:ln>
          <a:effectLst/>
          <a:sp3d/>
        </c:spPr>
        <c:marker>
          <c:symbol val="none"/>
        </c:marker>
      </c:pivotFmt>
      <c:pivotFmt>
        <c:idx val="372"/>
        <c:spPr>
          <a:solidFill>
            <a:schemeClr val="accent1"/>
          </a:solidFill>
          <a:ln>
            <a:noFill/>
          </a:ln>
          <a:effectLst/>
          <a:sp3d/>
        </c:spPr>
        <c:marker>
          <c:symbol val="none"/>
        </c:marker>
      </c:pivotFmt>
      <c:pivotFmt>
        <c:idx val="373"/>
        <c:spPr>
          <a:solidFill>
            <a:schemeClr val="accent1"/>
          </a:solidFill>
          <a:ln>
            <a:noFill/>
          </a:ln>
          <a:effectLst/>
          <a:sp3d/>
        </c:spPr>
        <c:marker>
          <c:symbol val="none"/>
        </c:marker>
      </c:pivotFmt>
      <c:pivotFmt>
        <c:idx val="374"/>
        <c:spPr>
          <a:solidFill>
            <a:schemeClr val="accent1"/>
          </a:solidFill>
          <a:ln>
            <a:noFill/>
          </a:ln>
          <a:effectLst/>
          <a:sp3d/>
        </c:spPr>
        <c:marker>
          <c:symbol val="none"/>
        </c:marker>
      </c:pivotFmt>
      <c:pivotFmt>
        <c:idx val="375"/>
        <c:spPr>
          <a:solidFill>
            <a:schemeClr val="accent1"/>
          </a:solidFill>
          <a:ln>
            <a:noFill/>
          </a:ln>
          <a:effectLst/>
          <a:sp3d/>
        </c:spPr>
        <c:marker>
          <c:symbol val="none"/>
        </c:marker>
      </c:pivotFmt>
      <c:pivotFmt>
        <c:idx val="376"/>
        <c:spPr>
          <a:solidFill>
            <a:schemeClr val="accent1"/>
          </a:solidFill>
          <a:ln>
            <a:noFill/>
          </a:ln>
          <a:effectLst/>
          <a:sp3d/>
        </c:spPr>
        <c:marker>
          <c:symbol val="none"/>
        </c:marker>
      </c:pivotFmt>
      <c:pivotFmt>
        <c:idx val="377"/>
        <c:spPr>
          <a:solidFill>
            <a:schemeClr val="accent1"/>
          </a:solidFill>
          <a:ln>
            <a:noFill/>
          </a:ln>
          <a:effectLst/>
          <a:sp3d/>
        </c:spPr>
        <c:marker>
          <c:symbol val="none"/>
        </c:marker>
      </c:pivotFmt>
      <c:pivotFmt>
        <c:idx val="378"/>
        <c:spPr>
          <a:solidFill>
            <a:schemeClr val="accent1"/>
          </a:solidFill>
          <a:ln>
            <a:noFill/>
          </a:ln>
          <a:effectLst/>
          <a:sp3d/>
        </c:spPr>
        <c:marker>
          <c:symbol val="none"/>
        </c:marker>
      </c:pivotFmt>
      <c:pivotFmt>
        <c:idx val="379"/>
        <c:spPr>
          <a:solidFill>
            <a:schemeClr val="accent1"/>
          </a:solidFill>
          <a:ln>
            <a:noFill/>
          </a:ln>
          <a:effectLst/>
          <a:sp3d/>
        </c:spPr>
        <c:marker>
          <c:symbol val="none"/>
        </c:marker>
      </c:pivotFmt>
      <c:pivotFmt>
        <c:idx val="380"/>
        <c:spPr>
          <a:solidFill>
            <a:schemeClr val="accent1"/>
          </a:solidFill>
          <a:ln>
            <a:noFill/>
          </a:ln>
          <a:effectLst/>
          <a:sp3d/>
        </c:spPr>
        <c:marker>
          <c:symbol val="none"/>
        </c:marker>
      </c:pivotFmt>
      <c:pivotFmt>
        <c:idx val="381"/>
        <c:spPr>
          <a:solidFill>
            <a:schemeClr val="accent1"/>
          </a:solidFill>
          <a:ln>
            <a:noFill/>
          </a:ln>
          <a:effectLst/>
          <a:sp3d/>
        </c:spPr>
        <c:marker>
          <c:symbol val="none"/>
        </c:marker>
      </c:pivotFmt>
      <c:pivotFmt>
        <c:idx val="382"/>
        <c:spPr>
          <a:solidFill>
            <a:schemeClr val="accent1"/>
          </a:solidFill>
          <a:ln>
            <a:noFill/>
          </a:ln>
          <a:effectLst/>
          <a:sp3d/>
        </c:spPr>
        <c:marker>
          <c:symbol val="none"/>
        </c:marker>
      </c:pivotFmt>
      <c:pivotFmt>
        <c:idx val="383"/>
        <c:spPr>
          <a:solidFill>
            <a:schemeClr val="accent1"/>
          </a:solidFill>
          <a:ln>
            <a:noFill/>
          </a:ln>
          <a:effectLst/>
          <a:sp3d/>
        </c:spPr>
        <c:marker>
          <c:symbol val="none"/>
        </c:marker>
      </c:pivotFmt>
      <c:pivotFmt>
        <c:idx val="384"/>
        <c:spPr>
          <a:solidFill>
            <a:schemeClr val="accent1"/>
          </a:solidFill>
          <a:ln>
            <a:noFill/>
          </a:ln>
          <a:effectLst/>
          <a:sp3d/>
        </c:spPr>
        <c:marker>
          <c:symbol val="none"/>
        </c:marker>
      </c:pivotFmt>
      <c:pivotFmt>
        <c:idx val="385"/>
        <c:spPr>
          <a:solidFill>
            <a:schemeClr val="accent1"/>
          </a:solidFill>
          <a:ln>
            <a:noFill/>
          </a:ln>
          <a:effectLst/>
          <a:sp3d/>
        </c:spPr>
        <c:marker>
          <c:symbol val="none"/>
        </c:marker>
      </c:pivotFmt>
      <c:pivotFmt>
        <c:idx val="386"/>
        <c:spPr>
          <a:solidFill>
            <a:schemeClr val="accent1"/>
          </a:solidFill>
          <a:ln>
            <a:noFill/>
          </a:ln>
          <a:effectLst/>
          <a:sp3d/>
        </c:spPr>
        <c:marker>
          <c:symbol val="none"/>
        </c:marker>
      </c:pivotFmt>
      <c:pivotFmt>
        <c:idx val="387"/>
        <c:spPr>
          <a:solidFill>
            <a:schemeClr val="accent1"/>
          </a:solidFill>
          <a:ln>
            <a:noFill/>
          </a:ln>
          <a:effectLst/>
          <a:sp3d/>
        </c:spPr>
        <c:marker>
          <c:symbol val="none"/>
        </c:marker>
      </c:pivotFmt>
      <c:pivotFmt>
        <c:idx val="388"/>
        <c:spPr>
          <a:solidFill>
            <a:schemeClr val="accent1"/>
          </a:solidFill>
          <a:ln>
            <a:noFill/>
          </a:ln>
          <a:effectLst/>
          <a:sp3d/>
        </c:spPr>
        <c:marker>
          <c:symbol val="none"/>
        </c:marker>
      </c:pivotFmt>
      <c:pivotFmt>
        <c:idx val="389"/>
        <c:spPr>
          <a:solidFill>
            <a:schemeClr val="accent1"/>
          </a:solidFill>
          <a:ln>
            <a:noFill/>
          </a:ln>
          <a:effectLst/>
          <a:sp3d/>
        </c:spPr>
        <c:marker>
          <c:symbol val="none"/>
        </c:marker>
      </c:pivotFmt>
      <c:pivotFmt>
        <c:idx val="390"/>
        <c:spPr>
          <a:solidFill>
            <a:schemeClr val="accent1"/>
          </a:solidFill>
          <a:ln>
            <a:noFill/>
          </a:ln>
          <a:effectLst/>
          <a:sp3d/>
        </c:spPr>
        <c:marker>
          <c:symbol val="none"/>
        </c:marker>
      </c:pivotFmt>
      <c:pivotFmt>
        <c:idx val="391"/>
        <c:spPr>
          <a:solidFill>
            <a:schemeClr val="accent1"/>
          </a:solidFill>
          <a:ln>
            <a:noFill/>
          </a:ln>
          <a:effectLst/>
          <a:sp3d/>
        </c:spPr>
        <c:marker>
          <c:symbol val="none"/>
        </c:marker>
      </c:pivotFmt>
      <c:pivotFmt>
        <c:idx val="392"/>
        <c:spPr>
          <a:solidFill>
            <a:schemeClr val="accent1"/>
          </a:solidFill>
          <a:ln>
            <a:noFill/>
          </a:ln>
          <a:effectLst/>
          <a:sp3d/>
        </c:spPr>
        <c:marker>
          <c:symbol val="none"/>
        </c:marker>
      </c:pivotFmt>
      <c:pivotFmt>
        <c:idx val="393"/>
        <c:spPr>
          <a:solidFill>
            <a:schemeClr val="accent1"/>
          </a:solidFill>
          <a:ln>
            <a:noFill/>
          </a:ln>
          <a:effectLst/>
          <a:sp3d/>
        </c:spPr>
        <c:marker>
          <c:symbol val="none"/>
        </c:marker>
      </c:pivotFmt>
      <c:pivotFmt>
        <c:idx val="394"/>
        <c:spPr>
          <a:solidFill>
            <a:schemeClr val="accent1"/>
          </a:solidFill>
          <a:ln>
            <a:noFill/>
          </a:ln>
          <a:effectLst/>
          <a:sp3d/>
        </c:spPr>
        <c:marker>
          <c:symbol val="none"/>
        </c:marker>
      </c:pivotFmt>
      <c:pivotFmt>
        <c:idx val="395"/>
        <c:spPr>
          <a:solidFill>
            <a:schemeClr val="accent1"/>
          </a:solidFill>
          <a:ln>
            <a:noFill/>
          </a:ln>
          <a:effectLst/>
          <a:sp3d/>
        </c:spPr>
        <c:marker>
          <c:symbol val="none"/>
        </c:marker>
      </c:pivotFmt>
      <c:pivotFmt>
        <c:idx val="396"/>
        <c:spPr>
          <a:solidFill>
            <a:schemeClr val="accent1"/>
          </a:solidFill>
          <a:ln>
            <a:noFill/>
          </a:ln>
          <a:effectLst/>
          <a:sp3d/>
        </c:spPr>
        <c:marker>
          <c:symbol val="none"/>
        </c:marker>
      </c:pivotFmt>
      <c:pivotFmt>
        <c:idx val="397"/>
        <c:spPr>
          <a:solidFill>
            <a:schemeClr val="accent1"/>
          </a:solidFill>
          <a:ln>
            <a:noFill/>
          </a:ln>
          <a:effectLst/>
          <a:sp3d/>
        </c:spPr>
        <c:marker>
          <c:symbol val="none"/>
        </c:marker>
      </c:pivotFmt>
      <c:pivotFmt>
        <c:idx val="398"/>
        <c:spPr>
          <a:solidFill>
            <a:schemeClr val="accent1"/>
          </a:solidFill>
          <a:ln>
            <a:noFill/>
          </a:ln>
          <a:effectLst/>
          <a:sp3d/>
        </c:spPr>
        <c:marker>
          <c:symbol val="none"/>
        </c:marker>
      </c:pivotFmt>
      <c:pivotFmt>
        <c:idx val="399"/>
        <c:spPr>
          <a:solidFill>
            <a:schemeClr val="accent1"/>
          </a:solidFill>
          <a:ln>
            <a:noFill/>
          </a:ln>
          <a:effectLst/>
          <a:sp3d/>
        </c:spPr>
        <c:marker>
          <c:symbol val="none"/>
        </c:marker>
      </c:pivotFmt>
      <c:pivotFmt>
        <c:idx val="400"/>
        <c:spPr>
          <a:solidFill>
            <a:schemeClr val="accent1"/>
          </a:solidFill>
          <a:ln>
            <a:noFill/>
          </a:ln>
          <a:effectLst/>
          <a:sp3d/>
        </c:spPr>
        <c:marker>
          <c:symbol val="none"/>
        </c:marker>
      </c:pivotFmt>
      <c:pivotFmt>
        <c:idx val="401"/>
        <c:spPr>
          <a:solidFill>
            <a:schemeClr val="accent1"/>
          </a:solidFill>
          <a:ln>
            <a:noFill/>
          </a:ln>
          <a:effectLst/>
          <a:sp3d/>
        </c:spPr>
        <c:marker>
          <c:symbol val="none"/>
        </c:marker>
      </c:pivotFmt>
      <c:pivotFmt>
        <c:idx val="402"/>
        <c:spPr>
          <a:solidFill>
            <a:schemeClr val="accent1"/>
          </a:solidFill>
          <a:ln>
            <a:noFill/>
          </a:ln>
          <a:effectLst/>
          <a:sp3d/>
        </c:spPr>
        <c:marker>
          <c:symbol val="none"/>
        </c:marker>
      </c:pivotFmt>
      <c:pivotFmt>
        <c:idx val="403"/>
        <c:spPr>
          <a:solidFill>
            <a:schemeClr val="accent1"/>
          </a:solidFill>
          <a:ln>
            <a:noFill/>
          </a:ln>
          <a:effectLst/>
          <a:sp3d/>
        </c:spPr>
        <c:marker>
          <c:symbol val="none"/>
        </c:marker>
      </c:pivotFmt>
      <c:pivotFmt>
        <c:idx val="404"/>
        <c:spPr>
          <a:solidFill>
            <a:schemeClr val="accent1"/>
          </a:solidFill>
          <a:ln>
            <a:noFill/>
          </a:ln>
          <a:effectLst/>
          <a:sp3d/>
        </c:spPr>
        <c:marker>
          <c:symbol val="none"/>
        </c:marker>
      </c:pivotFmt>
      <c:pivotFmt>
        <c:idx val="405"/>
        <c:spPr>
          <a:solidFill>
            <a:schemeClr val="accent1"/>
          </a:solidFill>
          <a:ln>
            <a:noFill/>
          </a:ln>
          <a:effectLst/>
          <a:sp3d/>
        </c:spPr>
        <c:marker>
          <c:symbol val="none"/>
        </c:marker>
      </c:pivotFmt>
      <c:pivotFmt>
        <c:idx val="406"/>
        <c:spPr>
          <a:solidFill>
            <a:schemeClr val="accent1"/>
          </a:solidFill>
          <a:ln>
            <a:noFill/>
          </a:ln>
          <a:effectLst/>
          <a:sp3d/>
        </c:spPr>
        <c:marker>
          <c:symbol val="none"/>
        </c:marker>
      </c:pivotFmt>
      <c:pivotFmt>
        <c:idx val="407"/>
        <c:spPr>
          <a:solidFill>
            <a:schemeClr val="accent1"/>
          </a:solidFill>
          <a:ln>
            <a:noFill/>
          </a:ln>
          <a:effectLst/>
          <a:sp3d/>
        </c:spPr>
        <c:marker>
          <c:symbol val="none"/>
        </c:marker>
      </c:pivotFmt>
      <c:pivotFmt>
        <c:idx val="408"/>
        <c:spPr>
          <a:solidFill>
            <a:schemeClr val="accent1"/>
          </a:solidFill>
          <a:ln>
            <a:noFill/>
          </a:ln>
          <a:effectLst/>
          <a:sp3d/>
        </c:spPr>
        <c:marker>
          <c:symbol val="none"/>
        </c:marker>
      </c:pivotFmt>
      <c:pivotFmt>
        <c:idx val="409"/>
        <c:spPr>
          <a:solidFill>
            <a:schemeClr val="accent1"/>
          </a:solidFill>
          <a:ln>
            <a:noFill/>
          </a:ln>
          <a:effectLst/>
          <a:sp3d/>
        </c:spPr>
        <c:marker>
          <c:symbol val="none"/>
        </c:marker>
      </c:pivotFmt>
      <c:pivotFmt>
        <c:idx val="410"/>
        <c:spPr>
          <a:solidFill>
            <a:schemeClr val="accent1"/>
          </a:solidFill>
          <a:ln>
            <a:noFill/>
          </a:ln>
          <a:effectLst/>
          <a:sp3d/>
        </c:spPr>
        <c:marker>
          <c:symbol val="none"/>
        </c:marker>
      </c:pivotFmt>
      <c:pivotFmt>
        <c:idx val="411"/>
        <c:spPr>
          <a:solidFill>
            <a:schemeClr val="accent1"/>
          </a:solidFill>
          <a:ln>
            <a:noFill/>
          </a:ln>
          <a:effectLst/>
          <a:sp3d/>
        </c:spPr>
        <c:marker>
          <c:symbol val="none"/>
        </c:marker>
      </c:pivotFmt>
      <c:pivotFmt>
        <c:idx val="412"/>
        <c:spPr>
          <a:solidFill>
            <a:schemeClr val="accent1"/>
          </a:solidFill>
          <a:ln>
            <a:noFill/>
          </a:ln>
          <a:effectLst/>
          <a:sp3d/>
        </c:spPr>
        <c:marker>
          <c:symbol val="none"/>
        </c:marker>
      </c:pivotFmt>
      <c:pivotFmt>
        <c:idx val="413"/>
        <c:spPr>
          <a:solidFill>
            <a:schemeClr val="accent1"/>
          </a:solidFill>
          <a:ln>
            <a:noFill/>
          </a:ln>
          <a:effectLst/>
          <a:sp3d/>
        </c:spPr>
        <c:marker>
          <c:symbol val="none"/>
        </c:marker>
      </c:pivotFmt>
      <c:pivotFmt>
        <c:idx val="414"/>
        <c:spPr>
          <a:solidFill>
            <a:schemeClr val="accent1"/>
          </a:solidFill>
          <a:ln>
            <a:noFill/>
          </a:ln>
          <a:effectLst/>
          <a:sp3d/>
        </c:spPr>
        <c:marker>
          <c:symbol val="none"/>
        </c:marker>
      </c:pivotFmt>
      <c:pivotFmt>
        <c:idx val="415"/>
        <c:spPr>
          <a:solidFill>
            <a:schemeClr val="accent1"/>
          </a:solidFill>
          <a:ln>
            <a:noFill/>
          </a:ln>
          <a:effectLst/>
          <a:sp3d/>
        </c:spPr>
        <c:marker>
          <c:symbol val="none"/>
        </c:marker>
      </c:pivotFmt>
      <c:pivotFmt>
        <c:idx val="416"/>
        <c:spPr>
          <a:solidFill>
            <a:schemeClr val="accent1"/>
          </a:solidFill>
          <a:ln>
            <a:noFill/>
          </a:ln>
          <a:effectLst/>
          <a:sp3d/>
        </c:spPr>
        <c:marker>
          <c:symbol val="none"/>
        </c:marker>
      </c:pivotFmt>
      <c:pivotFmt>
        <c:idx val="417"/>
        <c:spPr>
          <a:solidFill>
            <a:schemeClr val="accent1"/>
          </a:solidFill>
          <a:ln>
            <a:noFill/>
          </a:ln>
          <a:effectLst/>
          <a:sp3d/>
        </c:spPr>
        <c:marker>
          <c:symbol val="none"/>
        </c:marker>
      </c:pivotFmt>
      <c:pivotFmt>
        <c:idx val="418"/>
        <c:spPr>
          <a:solidFill>
            <a:schemeClr val="accent1"/>
          </a:solidFill>
          <a:ln>
            <a:noFill/>
          </a:ln>
          <a:effectLst/>
          <a:sp3d/>
        </c:spPr>
        <c:marker>
          <c:symbol val="none"/>
        </c:marker>
      </c:pivotFmt>
      <c:pivotFmt>
        <c:idx val="419"/>
        <c:spPr>
          <a:solidFill>
            <a:schemeClr val="accent1"/>
          </a:solidFill>
          <a:ln>
            <a:noFill/>
          </a:ln>
          <a:effectLst/>
          <a:sp3d/>
        </c:spPr>
        <c:marker>
          <c:symbol val="none"/>
        </c:marker>
      </c:pivotFmt>
      <c:pivotFmt>
        <c:idx val="420"/>
        <c:spPr>
          <a:solidFill>
            <a:schemeClr val="accent1"/>
          </a:solidFill>
          <a:ln>
            <a:noFill/>
          </a:ln>
          <a:effectLst/>
          <a:sp3d/>
        </c:spPr>
        <c:marker>
          <c:symbol val="none"/>
        </c:marker>
      </c:pivotFmt>
      <c:pivotFmt>
        <c:idx val="421"/>
        <c:spPr>
          <a:solidFill>
            <a:schemeClr val="accent1"/>
          </a:solidFill>
          <a:ln>
            <a:noFill/>
          </a:ln>
          <a:effectLst/>
          <a:sp3d/>
        </c:spPr>
        <c:marker>
          <c:symbol val="none"/>
        </c:marker>
      </c:pivotFmt>
      <c:pivotFmt>
        <c:idx val="422"/>
        <c:spPr>
          <a:solidFill>
            <a:schemeClr val="accent1"/>
          </a:solidFill>
          <a:ln>
            <a:noFill/>
          </a:ln>
          <a:effectLst/>
          <a:sp3d/>
        </c:spPr>
        <c:marker>
          <c:symbol val="none"/>
        </c:marker>
      </c:pivotFmt>
      <c:pivotFmt>
        <c:idx val="423"/>
        <c:spPr>
          <a:solidFill>
            <a:schemeClr val="accent1"/>
          </a:solidFill>
          <a:ln>
            <a:noFill/>
          </a:ln>
          <a:effectLst/>
          <a:sp3d/>
        </c:spPr>
        <c:marker>
          <c:symbol val="none"/>
        </c:marker>
      </c:pivotFmt>
      <c:pivotFmt>
        <c:idx val="424"/>
        <c:spPr>
          <a:solidFill>
            <a:schemeClr val="accent1"/>
          </a:solidFill>
          <a:ln>
            <a:noFill/>
          </a:ln>
          <a:effectLst/>
          <a:sp3d/>
        </c:spPr>
        <c:marker>
          <c:symbol val="none"/>
        </c:marker>
      </c:pivotFmt>
      <c:pivotFmt>
        <c:idx val="425"/>
        <c:spPr>
          <a:solidFill>
            <a:schemeClr val="accent1"/>
          </a:solidFill>
          <a:ln>
            <a:noFill/>
          </a:ln>
          <a:effectLst/>
          <a:sp3d/>
        </c:spPr>
        <c:marker>
          <c:symbol val="none"/>
        </c:marker>
      </c:pivotFmt>
      <c:pivotFmt>
        <c:idx val="426"/>
        <c:spPr>
          <a:solidFill>
            <a:schemeClr val="accent1"/>
          </a:solidFill>
          <a:ln>
            <a:noFill/>
          </a:ln>
          <a:effectLst/>
          <a:sp3d/>
        </c:spPr>
        <c:marker>
          <c:symbol val="none"/>
        </c:marker>
      </c:pivotFmt>
      <c:pivotFmt>
        <c:idx val="427"/>
        <c:spPr>
          <a:solidFill>
            <a:schemeClr val="accent1"/>
          </a:solidFill>
          <a:ln>
            <a:noFill/>
          </a:ln>
          <a:effectLst/>
          <a:sp3d/>
        </c:spPr>
        <c:marker>
          <c:symbol val="none"/>
        </c:marker>
      </c:pivotFmt>
      <c:pivotFmt>
        <c:idx val="428"/>
        <c:spPr>
          <a:solidFill>
            <a:schemeClr val="accent1"/>
          </a:solidFill>
          <a:ln>
            <a:noFill/>
          </a:ln>
          <a:effectLst/>
          <a:sp3d/>
        </c:spPr>
        <c:marker>
          <c:symbol val="none"/>
        </c:marker>
      </c:pivotFmt>
      <c:pivotFmt>
        <c:idx val="429"/>
        <c:spPr>
          <a:solidFill>
            <a:schemeClr val="accent1"/>
          </a:solidFill>
          <a:ln>
            <a:noFill/>
          </a:ln>
          <a:effectLst/>
          <a:sp3d/>
        </c:spPr>
        <c:marker>
          <c:symbol val="none"/>
        </c:marker>
      </c:pivotFmt>
      <c:pivotFmt>
        <c:idx val="430"/>
        <c:spPr>
          <a:solidFill>
            <a:schemeClr val="accent1"/>
          </a:solidFill>
          <a:ln>
            <a:noFill/>
          </a:ln>
          <a:effectLst/>
          <a:sp3d/>
        </c:spPr>
        <c:marker>
          <c:symbol val="none"/>
        </c:marker>
      </c:pivotFmt>
      <c:pivotFmt>
        <c:idx val="431"/>
        <c:spPr>
          <a:solidFill>
            <a:schemeClr val="accent1"/>
          </a:solidFill>
          <a:ln>
            <a:noFill/>
          </a:ln>
          <a:effectLst/>
          <a:sp3d/>
        </c:spPr>
        <c:marker>
          <c:symbol val="none"/>
        </c:marker>
      </c:pivotFmt>
      <c:pivotFmt>
        <c:idx val="432"/>
        <c:spPr>
          <a:solidFill>
            <a:schemeClr val="accent1"/>
          </a:solidFill>
          <a:ln>
            <a:noFill/>
          </a:ln>
          <a:effectLst/>
          <a:sp3d/>
        </c:spPr>
        <c:marker>
          <c:symbol val="none"/>
        </c:marker>
      </c:pivotFmt>
      <c:pivotFmt>
        <c:idx val="433"/>
        <c:spPr>
          <a:solidFill>
            <a:schemeClr val="accent1"/>
          </a:solidFill>
          <a:ln>
            <a:noFill/>
          </a:ln>
          <a:effectLst/>
          <a:sp3d/>
        </c:spPr>
        <c:marker>
          <c:symbol val="none"/>
        </c:marker>
      </c:pivotFmt>
      <c:pivotFmt>
        <c:idx val="434"/>
        <c:spPr>
          <a:solidFill>
            <a:schemeClr val="accent1"/>
          </a:solidFill>
          <a:ln>
            <a:noFill/>
          </a:ln>
          <a:effectLst/>
          <a:sp3d/>
        </c:spPr>
        <c:marker>
          <c:symbol val="none"/>
        </c:marker>
      </c:pivotFmt>
      <c:pivotFmt>
        <c:idx val="435"/>
        <c:spPr>
          <a:solidFill>
            <a:schemeClr val="accent1"/>
          </a:solidFill>
          <a:ln>
            <a:noFill/>
          </a:ln>
          <a:effectLst/>
          <a:sp3d/>
        </c:spPr>
        <c:marker>
          <c:symbol val="none"/>
        </c:marker>
      </c:pivotFmt>
      <c:pivotFmt>
        <c:idx val="436"/>
        <c:spPr>
          <a:solidFill>
            <a:schemeClr val="accent1"/>
          </a:solidFill>
          <a:ln>
            <a:noFill/>
          </a:ln>
          <a:effectLst/>
          <a:sp3d/>
        </c:spPr>
        <c:marker>
          <c:symbol val="none"/>
        </c:marker>
      </c:pivotFmt>
      <c:pivotFmt>
        <c:idx val="437"/>
        <c:spPr>
          <a:solidFill>
            <a:schemeClr val="accent1"/>
          </a:solidFill>
          <a:ln>
            <a:noFill/>
          </a:ln>
          <a:effectLst/>
          <a:sp3d/>
        </c:spPr>
        <c:marker>
          <c:symbol val="none"/>
        </c:marker>
      </c:pivotFmt>
      <c:pivotFmt>
        <c:idx val="438"/>
        <c:spPr>
          <a:solidFill>
            <a:schemeClr val="accent1"/>
          </a:solidFill>
          <a:ln>
            <a:noFill/>
          </a:ln>
          <a:effectLst/>
          <a:sp3d/>
        </c:spPr>
        <c:marker>
          <c:symbol val="none"/>
        </c:marker>
      </c:pivotFmt>
      <c:pivotFmt>
        <c:idx val="439"/>
        <c:spPr>
          <a:solidFill>
            <a:schemeClr val="accent1"/>
          </a:solidFill>
          <a:ln>
            <a:noFill/>
          </a:ln>
          <a:effectLst/>
          <a:sp3d/>
        </c:spPr>
        <c:marker>
          <c:symbol val="none"/>
        </c:marker>
      </c:pivotFmt>
      <c:pivotFmt>
        <c:idx val="440"/>
        <c:spPr>
          <a:solidFill>
            <a:schemeClr val="accent1"/>
          </a:solidFill>
          <a:ln>
            <a:noFill/>
          </a:ln>
          <a:effectLst/>
          <a:sp3d/>
        </c:spPr>
        <c:marker>
          <c:symbol val="none"/>
        </c:marker>
      </c:pivotFmt>
      <c:pivotFmt>
        <c:idx val="441"/>
        <c:spPr>
          <a:solidFill>
            <a:schemeClr val="accent1"/>
          </a:solidFill>
          <a:ln>
            <a:noFill/>
          </a:ln>
          <a:effectLst/>
          <a:sp3d/>
        </c:spPr>
        <c:marker>
          <c:symbol val="none"/>
        </c:marker>
      </c:pivotFmt>
      <c:pivotFmt>
        <c:idx val="442"/>
        <c:spPr>
          <a:solidFill>
            <a:schemeClr val="accent1"/>
          </a:solidFill>
          <a:ln>
            <a:noFill/>
          </a:ln>
          <a:effectLst/>
          <a:sp3d/>
        </c:spPr>
        <c:marker>
          <c:symbol val="none"/>
        </c:marker>
      </c:pivotFmt>
      <c:pivotFmt>
        <c:idx val="443"/>
        <c:spPr>
          <a:solidFill>
            <a:schemeClr val="accent1"/>
          </a:solidFill>
          <a:ln>
            <a:noFill/>
          </a:ln>
          <a:effectLst/>
          <a:sp3d/>
        </c:spPr>
        <c:marker>
          <c:symbol val="none"/>
        </c:marker>
      </c:pivotFmt>
      <c:pivotFmt>
        <c:idx val="444"/>
        <c:spPr>
          <a:solidFill>
            <a:schemeClr val="accent1"/>
          </a:solidFill>
          <a:ln>
            <a:noFill/>
          </a:ln>
          <a:effectLst/>
          <a:sp3d/>
        </c:spPr>
        <c:marker>
          <c:symbol val="none"/>
        </c:marker>
      </c:pivotFmt>
      <c:pivotFmt>
        <c:idx val="445"/>
        <c:spPr>
          <a:solidFill>
            <a:schemeClr val="accent1"/>
          </a:solidFill>
          <a:ln>
            <a:noFill/>
          </a:ln>
          <a:effectLst/>
          <a:sp3d/>
        </c:spPr>
        <c:marker>
          <c:symbol val="none"/>
        </c:marker>
      </c:pivotFmt>
      <c:pivotFmt>
        <c:idx val="446"/>
        <c:spPr>
          <a:solidFill>
            <a:schemeClr val="accent1"/>
          </a:solidFill>
          <a:ln>
            <a:noFill/>
          </a:ln>
          <a:effectLst/>
          <a:sp3d/>
        </c:spPr>
        <c:marker>
          <c:symbol val="none"/>
        </c:marker>
      </c:pivotFmt>
      <c:pivotFmt>
        <c:idx val="447"/>
        <c:spPr>
          <a:solidFill>
            <a:schemeClr val="accent1"/>
          </a:solidFill>
          <a:ln>
            <a:noFill/>
          </a:ln>
          <a:effectLst/>
          <a:sp3d/>
        </c:spPr>
        <c:marker>
          <c:symbol val="none"/>
        </c:marker>
      </c:pivotFmt>
      <c:pivotFmt>
        <c:idx val="448"/>
        <c:spPr>
          <a:solidFill>
            <a:schemeClr val="accent1"/>
          </a:solidFill>
          <a:ln>
            <a:noFill/>
          </a:ln>
          <a:effectLst/>
          <a:sp3d/>
        </c:spPr>
        <c:marker>
          <c:symbol val="none"/>
        </c:marker>
      </c:pivotFmt>
      <c:pivotFmt>
        <c:idx val="449"/>
        <c:spPr>
          <a:solidFill>
            <a:schemeClr val="accent1"/>
          </a:solidFill>
          <a:ln>
            <a:noFill/>
          </a:ln>
          <a:effectLst/>
          <a:sp3d/>
        </c:spPr>
        <c:marker>
          <c:symbol val="none"/>
        </c:marker>
      </c:pivotFmt>
      <c:pivotFmt>
        <c:idx val="450"/>
        <c:spPr>
          <a:solidFill>
            <a:schemeClr val="accent1"/>
          </a:solidFill>
          <a:ln>
            <a:noFill/>
          </a:ln>
          <a:effectLst/>
          <a:sp3d/>
        </c:spPr>
        <c:marker>
          <c:symbol val="none"/>
        </c:marker>
      </c:pivotFmt>
      <c:pivotFmt>
        <c:idx val="451"/>
        <c:spPr>
          <a:solidFill>
            <a:schemeClr val="accent1"/>
          </a:solidFill>
          <a:ln>
            <a:noFill/>
          </a:ln>
          <a:effectLst/>
          <a:sp3d/>
        </c:spPr>
        <c:marker>
          <c:symbol val="none"/>
        </c:marker>
      </c:pivotFmt>
      <c:pivotFmt>
        <c:idx val="452"/>
        <c:spPr>
          <a:solidFill>
            <a:schemeClr val="accent1"/>
          </a:solidFill>
          <a:ln>
            <a:noFill/>
          </a:ln>
          <a:effectLst/>
          <a:sp3d/>
        </c:spPr>
        <c:marker>
          <c:symbol val="none"/>
        </c:marker>
      </c:pivotFmt>
      <c:pivotFmt>
        <c:idx val="453"/>
        <c:spPr>
          <a:solidFill>
            <a:schemeClr val="accent1"/>
          </a:solidFill>
          <a:ln>
            <a:noFill/>
          </a:ln>
          <a:effectLst/>
          <a:sp3d/>
        </c:spPr>
        <c:marker>
          <c:symbol val="none"/>
        </c:marker>
      </c:pivotFmt>
      <c:pivotFmt>
        <c:idx val="454"/>
        <c:spPr>
          <a:solidFill>
            <a:schemeClr val="accent1"/>
          </a:solidFill>
          <a:ln>
            <a:noFill/>
          </a:ln>
          <a:effectLst/>
          <a:sp3d/>
        </c:spPr>
        <c:marker>
          <c:symbol val="none"/>
        </c:marker>
      </c:pivotFmt>
      <c:pivotFmt>
        <c:idx val="455"/>
        <c:spPr>
          <a:solidFill>
            <a:schemeClr val="accent1"/>
          </a:solidFill>
          <a:ln>
            <a:noFill/>
          </a:ln>
          <a:effectLst/>
          <a:sp3d/>
        </c:spPr>
        <c:marker>
          <c:symbol val="none"/>
        </c:marker>
      </c:pivotFmt>
      <c:pivotFmt>
        <c:idx val="456"/>
        <c:spPr>
          <a:solidFill>
            <a:schemeClr val="accent1"/>
          </a:solidFill>
          <a:ln>
            <a:noFill/>
          </a:ln>
          <a:effectLst/>
          <a:sp3d/>
        </c:spPr>
        <c:marker>
          <c:symbol val="none"/>
        </c:marker>
      </c:pivotFmt>
      <c:pivotFmt>
        <c:idx val="457"/>
        <c:spPr>
          <a:solidFill>
            <a:schemeClr val="accent1"/>
          </a:solidFill>
          <a:ln>
            <a:noFill/>
          </a:ln>
          <a:effectLst/>
          <a:sp3d/>
        </c:spPr>
        <c:marker>
          <c:symbol val="none"/>
        </c:marker>
      </c:pivotFmt>
      <c:pivotFmt>
        <c:idx val="458"/>
        <c:spPr>
          <a:solidFill>
            <a:schemeClr val="accent1"/>
          </a:solidFill>
          <a:ln>
            <a:noFill/>
          </a:ln>
          <a:effectLst/>
          <a:sp3d/>
        </c:spPr>
        <c:marker>
          <c:symbol val="none"/>
        </c:marker>
      </c:pivotFmt>
      <c:pivotFmt>
        <c:idx val="459"/>
        <c:spPr>
          <a:solidFill>
            <a:schemeClr val="accent1"/>
          </a:solidFill>
          <a:ln>
            <a:noFill/>
          </a:ln>
          <a:effectLst/>
          <a:sp3d/>
        </c:spPr>
        <c:marker>
          <c:symbol val="none"/>
        </c:marker>
      </c:pivotFmt>
      <c:pivotFmt>
        <c:idx val="460"/>
        <c:spPr>
          <a:solidFill>
            <a:schemeClr val="accent1"/>
          </a:solidFill>
          <a:ln>
            <a:noFill/>
          </a:ln>
          <a:effectLst/>
          <a:sp3d/>
        </c:spPr>
        <c:marker>
          <c:symbol val="none"/>
        </c:marker>
      </c:pivotFmt>
      <c:pivotFmt>
        <c:idx val="461"/>
        <c:spPr>
          <a:solidFill>
            <a:schemeClr val="accent1"/>
          </a:solidFill>
          <a:ln>
            <a:noFill/>
          </a:ln>
          <a:effectLst/>
          <a:sp3d/>
        </c:spPr>
        <c:marker>
          <c:symbol val="none"/>
        </c:marker>
      </c:pivotFmt>
      <c:pivotFmt>
        <c:idx val="462"/>
        <c:spPr>
          <a:solidFill>
            <a:schemeClr val="accent1"/>
          </a:solidFill>
          <a:ln>
            <a:noFill/>
          </a:ln>
          <a:effectLst/>
          <a:sp3d/>
        </c:spPr>
        <c:marker>
          <c:symbol val="none"/>
        </c:marker>
      </c:pivotFmt>
      <c:pivotFmt>
        <c:idx val="463"/>
        <c:spPr>
          <a:solidFill>
            <a:schemeClr val="accent1"/>
          </a:solidFill>
          <a:ln>
            <a:noFill/>
          </a:ln>
          <a:effectLst/>
          <a:sp3d/>
        </c:spPr>
        <c:marker>
          <c:symbol val="none"/>
        </c:marker>
      </c:pivotFmt>
      <c:pivotFmt>
        <c:idx val="464"/>
        <c:spPr>
          <a:solidFill>
            <a:schemeClr val="accent1"/>
          </a:solidFill>
          <a:ln>
            <a:noFill/>
          </a:ln>
          <a:effectLst/>
          <a:sp3d/>
        </c:spPr>
        <c:marker>
          <c:symbol val="none"/>
        </c:marker>
      </c:pivotFmt>
      <c:pivotFmt>
        <c:idx val="465"/>
        <c:spPr>
          <a:solidFill>
            <a:schemeClr val="accent1"/>
          </a:solidFill>
          <a:ln>
            <a:noFill/>
          </a:ln>
          <a:effectLst/>
          <a:sp3d/>
        </c:spPr>
        <c:marker>
          <c:symbol val="none"/>
        </c:marker>
      </c:pivotFmt>
      <c:pivotFmt>
        <c:idx val="466"/>
        <c:spPr>
          <a:solidFill>
            <a:schemeClr val="accent1"/>
          </a:solidFill>
          <a:ln>
            <a:noFill/>
          </a:ln>
          <a:effectLst/>
          <a:sp3d/>
        </c:spPr>
        <c:marker>
          <c:symbol val="none"/>
        </c:marker>
      </c:pivotFmt>
      <c:pivotFmt>
        <c:idx val="467"/>
        <c:spPr>
          <a:solidFill>
            <a:schemeClr val="accent1"/>
          </a:solidFill>
          <a:ln>
            <a:noFill/>
          </a:ln>
          <a:effectLst/>
          <a:sp3d/>
        </c:spPr>
        <c:marker>
          <c:symbol val="none"/>
        </c:marker>
      </c:pivotFmt>
      <c:pivotFmt>
        <c:idx val="468"/>
        <c:spPr>
          <a:solidFill>
            <a:schemeClr val="accent1"/>
          </a:solidFill>
          <a:ln>
            <a:noFill/>
          </a:ln>
          <a:effectLst/>
          <a:sp3d/>
        </c:spPr>
        <c:marker>
          <c:symbol val="none"/>
        </c:marker>
      </c:pivotFmt>
      <c:pivotFmt>
        <c:idx val="469"/>
        <c:spPr>
          <a:solidFill>
            <a:schemeClr val="accent1"/>
          </a:solidFill>
          <a:ln>
            <a:noFill/>
          </a:ln>
          <a:effectLst/>
          <a:sp3d/>
        </c:spPr>
        <c:marker>
          <c:symbol val="none"/>
        </c:marker>
      </c:pivotFmt>
      <c:pivotFmt>
        <c:idx val="470"/>
        <c:spPr>
          <a:solidFill>
            <a:schemeClr val="accent1"/>
          </a:solidFill>
          <a:ln>
            <a:noFill/>
          </a:ln>
          <a:effectLst/>
          <a:sp3d/>
        </c:spPr>
        <c:marker>
          <c:symbol val="none"/>
        </c:marker>
      </c:pivotFmt>
      <c:pivotFmt>
        <c:idx val="471"/>
        <c:spPr>
          <a:solidFill>
            <a:schemeClr val="accent1"/>
          </a:solidFill>
          <a:ln>
            <a:noFill/>
          </a:ln>
          <a:effectLst/>
          <a:sp3d/>
        </c:spPr>
        <c:marker>
          <c:symbol val="none"/>
        </c:marker>
      </c:pivotFmt>
      <c:pivotFmt>
        <c:idx val="472"/>
        <c:spPr>
          <a:solidFill>
            <a:schemeClr val="accent1"/>
          </a:solidFill>
          <a:ln>
            <a:noFill/>
          </a:ln>
          <a:effectLst/>
          <a:sp3d/>
        </c:spPr>
        <c:marker>
          <c:symbol val="none"/>
        </c:marker>
      </c:pivotFmt>
      <c:pivotFmt>
        <c:idx val="473"/>
        <c:spPr>
          <a:solidFill>
            <a:schemeClr val="accent1"/>
          </a:solidFill>
          <a:ln>
            <a:noFill/>
          </a:ln>
          <a:effectLst/>
          <a:sp3d/>
        </c:spPr>
        <c:marker>
          <c:symbol val="none"/>
        </c:marker>
      </c:pivotFmt>
      <c:pivotFmt>
        <c:idx val="474"/>
        <c:spPr>
          <a:solidFill>
            <a:schemeClr val="accent1"/>
          </a:solidFill>
          <a:ln>
            <a:noFill/>
          </a:ln>
          <a:effectLst/>
          <a:sp3d/>
        </c:spPr>
        <c:marker>
          <c:symbol val="none"/>
        </c:marker>
      </c:pivotFmt>
      <c:pivotFmt>
        <c:idx val="475"/>
        <c:spPr>
          <a:solidFill>
            <a:schemeClr val="accent1"/>
          </a:solidFill>
          <a:ln>
            <a:noFill/>
          </a:ln>
          <a:effectLst/>
          <a:sp3d/>
        </c:spPr>
        <c:marker>
          <c:symbol val="none"/>
        </c:marker>
      </c:pivotFmt>
      <c:pivotFmt>
        <c:idx val="476"/>
        <c:spPr>
          <a:solidFill>
            <a:schemeClr val="accent1"/>
          </a:solidFill>
          <a:ln>
            <a:noFill/>
          </a:ln>
          <a:effectLst/>
          <a:sp3d/>
        </c:spPr>
        <c:marker>
          <c:symbol val="none"/>
        </c:marker>
      </c:pivotFmt>
      <c:pivotFmt>
        <c:idx val="477"/>
        <c:spPr>
          <a:solidFill>
            <a:schemeClr val="accent1"/>
          </a:solidFill>
          <a:ln>
            <a:noFill/>
          </a:ln>
          <a:effectLst/>
          <a:sp3d/>
        </c:spPr>
        <c:marker>
          <c:symbol val="none"/>
        </c:marker>
      </c:pivotFmt>
      <c:pivotFmt>
        <c:idx val="478"/>
        <c:spPr>
          <a:solidFill>
            <a:schemeClr val="accent1"/>
          </a:solidFill>
          <a:ln>
            <a:noFill/>
          </a:ln>
          <a:effectLst/>
          <a:sp3d/>
        </c:spPr>
        <c:marker>
          <c:symbol val="none"/>
        </c:marker>
      </c:pivotFmt>
      <c:pivotFmt>
        <c:idx val="479"/>
        <c:spPr>
          <a:solidFill>
            <a:schemeClr val="accent1"/>
          </a:solidFill>
          <a:ln>
            <a:noFill/>
          </a:ln>
          <a:effectLst/>
          <a:sp3d/>
        </c:spPr>
        <c:marker>
          <c:symbol val="none"/>
        </c:marker>
      </c:pivotFmt>
      <c:pivotFmt>
        <c:idx val="480"/>
        <c:spPr>
          <a:solidFill>
            <a:schemeClr val="accent1"/>
          </a:solidFill>
          <a:ln>
            <a:noFill/>
          </a:ln>
          <a:effectLst/>
          <a:sp3d/>
        </c:spPr>
        <c:marker>
          <c:symbol val="none"/>
        </c:marker>
      </c:pivotFmt>
      <c:pivotFmt>
        <c:idx val="481"/>
        <c:spPr>
          <a:solidFill>
            <a:schemeClr val="accent1"/>
          </a:solidFill>
          <a:ln>
            <a:noFill/>
          </a:ln>
          <a:effectLst/>
          <a:sp3d/>
        </c:spPr>
        <c:marker>
          <c:symbol val="none"/>
        </c:marker>
      </c:pivotFmt>
      <c:pivotFmt>
        <c:idx val="482"/>
        <c:spPr>
          <a:solidFill>
            <a:schemeClr val="accent1"/>
          </a:solidFill>
          <a:ln>
            <a:noFill/>
          </a:ln>
          <a:effectLst/>
          <a:sp3d/>
        </c:spPr>
        <c:marker>
          <c:symbol val="none"/>
        </c:marker>
      </c:pivotFmt>
      <c:pivotFmt>
        <c:idx val="483"/>
        <c:spPr>
          <a:solidFill>
            <a:schemeClr val="accent1"/>
          </a:solidFill>
          <a:ln>
            <a:noFill/>
          </a:ln>
          <a:effectLst/>
          <a:sp3d/>
        </c:spPr>
        <c:marker>
          <c:symbol val="none"/>
        </c:marker>
      </c:pivotFmt>
      <c:pivotFmt>
        <c:idx val="484"/>
        <c:spPr>
          <a:solidFill>
            <a:schemeClr val="accent1"/>
          </a:solidFill>
          <a:ln>
            <a:noFill/>
          </a:ln>
          <a:effectLst/>
          <a:sp3d/>
        </c:spPr>
        <c:marker>
          <c:symbol val="none"/>
        </c:marker>
      </c:pivotFmt>
      <c:pivotFmt>
        <c:idx val="485"/>
        <c:spPr>
          <a:solidFill>
            <a:schemeClr val="accent1"/>
          </a:solidFill>
          <a:ln>
            <a:noFill/>
          </a:ln>
          <a:effectLst/>
          <a:sp3d/>
        </c:spPr>
        <c:marker>
          <c:symbol val="none"/>
        </c:marker>
      </c:pivotFmt>
      <c:pivotFmt>
        <c:idx val="486"/>
        <c:spPr>
          <a:solidFill>
            <a:schemeClr val="accent1"/>
          </a:solidFill>
          <a:ln>
            <a:noFill/>
          </a:ln>
          <a:effectLst/>
          <a:sp3d/>
        </c:spPr>
        <c:marker>
          <c:symbol val="none"/>
        </c:marker>
      </c:pivotFmt>
      <c:pivotFmt>
        <c:idx val="487"/>
        <c:spPr>
          <a:solidFill>
            <a:schemeClr val="accent1"/>
          </a:solidFill>
          <a:ln>
            <a:noFill/>
          </a:ln>
          <a:effectLst/>
          <a:sp3d/>
        </c:spPr>
        <c:marker>
          <c:symbol val="none"/>
        </c:marker>
      </c:pivotFmt>
      <c:pivotFmt>
        <c:idx val="488"/>
        <c:spPr>
          <a:solidFill>
            <a:schemeClr val="accent1"/>
          </a:solidFill>
          <a:ln>
            <a:noFill/>
          </a:ln>
          <a:effectLst/>
          <a:sp3d/>
        </c:spPr>
        <c:marker>
          <c:symbol val="none"/>
        </c:marker>
      </c:pivotFmt>
      <c:pivotFmt>
        <c:idx val="489"/>
        <c:spPr>
          <a:solidFill>
            <a:schemeClr val="accent1"/>
          </a:solidFill>
          <a:ln>
            <a:noFill/>
          </a:ln>
          <a:effectLst/>
          <a:sp3d/>
        </c:spPr>
        <c:marker>
          <c:symbol val="none"/>
        </c:marker>
      </c:pivotFmt>
      <c:pivotFmt>
        <c:idx val="490"/>
        <c:spPr>
          <a:solidFill>
            <a:schemeClr val="accent1"/>
          </a:solidFill>
          <a:ln>
            <a:noFill/>
          </a:ln>
          <a:effectLst/>
          <a:sp3d/>
        </c:spPr>
        <c:marker>
          <c:symbol val="none"/>
        </c:marker>
      </c:pivotFmt>
      <c:pivotFmt>
        <c:idx val="491"/>
        <c:spPr>
          <a:solidFill>
            <a:schemeClr val="accent1"/>
          </a:solidFill>
          <a:ln>
            <a:noFill/>
          </a:ln>
          <a:effectLst/>
          <a:sp3d/>
        </c:spPr>
        <c:marker>
          <c:symbol val="none"/>
        </c:marker>
      </c:pivotFmt>
      <c:pivotFmt>
        <c:idx val="492"/>
        <c:spPr>
          <a:solidFill>
            <a:schemeClr val="accent1"/>
          </a:solidFill>
          <a:ln>
            <a:noFill/>
          </a:ln>
          <a:effectLst/>
          <a:sp3d/>
        </c:spPr>
        <c:marker>
          <c:symbol val="none"/>
        </c:marker>
      </c:pivotFmt>
      <c:pivotFmt>
        <c:idx val="493"/>
        <c:spPr>
          <a:solidFill>
            <a:schemeClr val="accent1"/>
          </a:solidFill>
          <a:ln>
            <a:noFill/>
          </a:ln>
          <a:effectLst/>
          <a:sp3d/>
        </c:spPr>
        <c:marker>
          <c:symbol val="none"/>
        </c:marker>
      </c:pivotFmt>
      <c:pivotFmt>
        <c:idx val="494"/>
        <c:spPr>
          <a:solidFill>
            <a:schemeClr val="accent1"/>
          </a:solidFill>
          <a:ln>
            <a:noFill/>
          </a:ln>
          <a:effectLst/>
          <a:sp3d/>
        </c:spPr>
        <c:marker>
          <c:symbol val="none"/>
        </c:marker>
      </c:pivotFmt>
      <c:pivotFmt>
        <c:idx val="495"/>
        <c:spPr>
          <a:solidFill>
            <a:schemeClr val="accent1"/>
          </a:solidFill>
          <a:ln>
            <a:noFill/>
          </a:ln>
          <a:effectLst/>
          <a:sp3d/>
        </c:spPr>
        <c:marker>
          <c:symbol val="none"/>
        </c:marker>
      </c:pivotFmt>
      <c:pivotFmt>
        <c:idx val="496"/>
        <c:spPr>
          <a:solidFill>
            <a:schemeClr val="accent1"/>
          </a:solidFill>
          <a:ln>
            <a:noFill/>
          </a:ln>
          <a:effectLst/>
          <a:sp3d/>
        </c:spPr>
        <c:marker>
          <c:symbol val="none"/>
        </c:marker>
      </c:pivotFmt>
      <c:pivotFmt>
        <c:idx val="497"/>
        <c:spPr>
          <a:solidFill>
            <a:schemeClr val="accent1"/>
          </a:solidFill>
          <a:ln>
            <a:noFill/>
          </a:ln>
          <a:effectLst/>
          <a:sp3d/>
        </c:spPr>
        <c:marker>
          <c:symbol val="none"/>
        </c:marker>
      </c:pivotFmt>
      <c:pivotFmt>
        <c:idx val="498"/>
        <c:spPr>
          <a:solidFill>
            <a:schemeClr val="accent1"/>
          </a:solidFill>
          <a:ln>
            <a:noFill/>
          </a:ln>
          <a:effectLst/>
          <a:sp3d/>
        </c:spPr>
        <c:marker>
          <c:symbol val="none"/>
        </c:marker>
      </c:pivotFmt>
      <c:pivotFmt>
        <c:idx val="499"/>
        <c:spPr>
          <a:solidFill>
            <a:schemeClr val="accent1"/>
          </a:solidFill>
          <a:ln>
            <a:noFill/>
          </a:ln>
          <a:effectLst/>
          <a:sp3d/>
        </c:spPr>
        <c:marker>
          <c:symbol val="none"/>
        </c:marker>
      </c:pivotFmt>
      <c:pivotFmt>
        <c:idx val="500"/>
        <c:spPr>
          <a:solidFill>
            <a:schemeClr val="accent1"/>
          </a:solidFill>
          <a:ln>
            <a:noFill/>
          </a:ln>
          <a:effectLst/>
          <a:sp3d/>
        </c:spPr>
        <c:marker>
          <c:symbol val="none"/>
        </c:marker>
      </c:pivotFmt>
      <c:pivotFmt>
        <c:idx val="501"/>
        <c:spPr>
          <a:solidFill>
            <a:schemeClr val="accent1"/>
          </a:solidFill>
          <a:ln>
            <a:noFill/>
          </a:ln>
          <a:effectLst/>
          <a:sp3d/>
        </c:spPr>
        <c:marker>
          <c:symbol val="none"/>
        </c:marker>
      </c:pivotFmt>
      <c:pivotFmt>
        <c:idx val="502"/>
        <c:spPr>
          <a:solidFill>
            <a:schemeClr val="accent1"/>
          </a:solidFill>
          <a:ln>
            <a:noFill/>
          </a:ln>
          <a:effectLst/>
          <a:sp3d/>
        </c:spPr>
        <c:marker>
          <c:symbol val="none"/>
        </c:marker>
      </c:pivotFmt>
      <c:pivotFmt>
        <c:idx val="503"/>
        <c:spPr>
          <a:solidFill>
            <a:schemeClr val="accent1"/>
          </a:solidFill>
          <a:ln>
            <a:noFill/>
          </a:ln>
          <a:effectLst/>
          <a:sp3d/>
        </c:spPr>
        <c:marker>
          <c:symbol val="none"/>
        </c:marker>
      </c:pivotFmt>
      <c:pivotFmt>
        <c:idx val="504"/>
        <c:spPr>
          <a:solidFill>
            <a:schemeClr val="accent1"/>
          </a:solidFill>
          <a:ln>
            <a:noFill/>
          </a:ln>
          <a:effectLst/>
          <a:sp3d/>
        </c:spPr>
        <c:marker>
          <c:symbol val="none"/>
        </c:marker>
      </c:pivotFmt>
      <c:pivotFmt>
        <c:idx val="505"/>
        <c:spPr>
          <a:solidFill>
            <a:schemeClr val="accent1"/>
          </a:solidFill>
          <a:ln>
            <a:noFill/>
          </a:ln>
          <a:effectLst/>
          <a:sp3d/>
        </c:spPr>
        <c:marker>
          <c:symbol val="none"/>
        </c:marker>
      </c:pivotFmt>
      <c:pivotFmt>
        <c:idx val="506"/>
        <c:spPr>
          <a:solidFill>
            <a:schemeClr val="accent1"/>
          </a:solidFill>
          <a:ln>
            <a:noFill/>
          </a:ln>
          <a:effectLst/>
          <a:sp3d/>
        </c:spPr>
        <c:marker>
          <c:symbol val="none"/>
        </c:marker>
      </c:pivotFmt>
      <c:pivotFmt>
        <c:idx val="507"/>
        <c:spPr>
          <a:solidFill>
            <a:schemeClr val="accent1"/>
          </a:solidFill>
          <a:ln>
            <a:noFill/>
          </a:ln>
          <a:effectLst/>
          <a:sp3d/>
        </c:spPr>
        <c:marker>
          <c:symbol val="none"/>
        </c:marker>
      </c:pivotFmt>
      <c:pivotFmt>
        <c:idx val="508"/>
        <c:spPr>
          <a:solidFill>
            <a:schemeClr val="accent1"/>
          </a:solidFill>
          <a:ln>
            <a:noFill/>
          </a:ln>
          <a:effectLst/>
          <a:sp3d/>
        </c:spPr>
        <c:marker>
          <c:symbol val="none"/>
        </c:marker>
      </c:pivotFmt>
      <c:pivotFmt>
        <c:idx val="509"/>
        <c:spPr>
          <a:solidFill>
            <a:schemeClr val="accent1"/>
          </a:solidFill>
          <a:ln>
            <a:noFill/>
          </a:ln>
          <a:effectLst/>
          <a:sp3d/>
        </c:spPr>
        <c:marker>
          <c:symbol val="none"/>
        </c:marker>
      </c:pivotFmt>
      <c:pivotFmt>
        <c:idx val="510"/>
        <c:spPr>
          <a:solidFill>
            <a:schemeClr val="accent1"/>
          </a:solidFill>
          <a:ln>
            <a:noFill/>
          </a:ln>
          <a:effectLst/>
          <a:sp3d/>
        </c:spPr>
        <c:marker>
          <c:symbol val="none"/>
        </c:marker>
      </c:pivotFmt>
      <c:pivotFmt>
        <c:idx val="511"/>
        <c:spPr>
          <a:solidFill>
            <a:schemeClr val="accent1"/>
          </a:solidFill>
          <a:ln>
            <a:noFill/>
          </a:ln>
          <a:effectLst/>
          <a:sp3d/>
        </c:spPr>
        <c:marker>
          <c:symbol val="none"/>
        </c:marker>
      </c:pivotFmt>
      <c:pivotFmt>
        <c:idx val="512"/>
        <c:spPr>
          <a:solidFill>
            <a:schemeClr val="accent1"/>
          </a:solidFill>
          <a:ln>
            <a:noFill/>
          </a:ln>
          <a:effectLst/>
          <a:sp3d/>
        </c:spPr>
        <c:marker>
          <c:symbol val="none"/>
        </c:marker>
      </c:pivotFmt>
      <c:pivotFmt>
        <c:idx val="513"/>
        <c:spPr>
          <a:solidFill>
            <a:schemeClr val="accent1"/>
          </a:solidFill>
          <a:ln>
            <a:noFill/>
          </a:ln>
          <a:effectLst/>
          <a:sp3d/>
        </c:spPr>
        <c:marker>
          <c:symbol val="none"/>
        </c:marker>
      </c:pivotFmt>
      <c:pivotFmt>
        <c:idx val="514"/>
        <c:spPr>
          <a:solidFill>
            <a:schemeClr val="accent1"/>
          </a:solidFill>
          <a:ln>
            <a:noFill/>
          </a:ln>
          <a:effectLst/>
          <a:sp3d/>
        </c:spPr>
        <c:marker>
          <c:symbol val="none"/>
        </c:marker>
      </c:pivotFmt>
      <c:pivotFmt>
        <c:idx val="515"/>
        <c:spPr>
          <a:solidFill>
            <a:schemeClr val="accent1"/>
          </a:solidFill>
          <a:ln>
            <a:noFill/>
          </a:ln>
          <a:effectLst/>
          <a:sp3d/>
        </c:spPr>
        <c:marker>
          <c:symbol val="none"/>
        </c:marker>
      </c:pivotFmt>
      <c:pivotFmt>
        <c:idx val="516"/>
        <c:spPr>
          <a:solidFill>
            <a:schemeClr val="accent1"/>
          </a:solidFill>
          <a:ln>
            <a:noFill/>
          </a:ln>
          <a:effectLst/>
          <a:sp3d/>
        </c:spPr>
        <c:marker>
          <c:symbol val="none"/>
        </c:marker>
      </c:pivotFmt>
      <c:pivotFmt>
        <c:idx val="517"/>
        <c:spPr>
          <a:solidFill>
            <a:schemeClr val="accent1"/>
          </a:solidFill>
          <a:ln>
            <a:noFill/>
          </a:ln>
          <a:effectLst/>
          <a:sp3d/>
        </c:spPr>
        <c:marker>
          <c:symbol val="none"/>
        </c:marker>
      </c:pivotFmt>
      <c:pivotFmt>
        <c:idx val="518"/>
        <c:spPr>
          <a:solidFill>
            <a:schemeClr val="accent1"/>
          </a:solidFill>
          <a:ln>
            <a:noFill/>
          </a:ln>
          <a:effectLst/>
          <a:sp3d/>
        </c:spPr>
        <c:marker>
          <c:symbol val="none"/>
        </c:marker>
      </c:pivotFmt>
      <c:pivotFmt>
        <c:idx val="519"/>
        <c:spPr>
          <a:solidFill>
            <a:schemeClr val="accent1"/>
          </a:solidFill>
          <a:ln>
            <a:noFill/>
          </a:ln>
          <a:effectLst/>
          <a:sp3d/>
        </c:spPr>
        <c:marker>
          <c:symbol val="none"/>
        </c:marker>
      </c:pivotFmt>
      <c:pivotFmt>
        <c:idx val="520"/>
        <c:spPr>
          <a:solidFill>
            <a:schemeClr val="accent1"/>
          </a:solidFill>
          <a:ln>
            <a:noFill/>
          </a:ln>
          <a:effectLst/>
          <a:sp3d/>
        </c:spPr>
        <c:marker>
          <c:symbol val="none"/>
        </c:marker>
      </c:pivotFmt>
      <c:pivotFmt>
        <c:idx val="521"/>
        <c:spPr>
          <a:solidFill>
            <a:schemeClr val="accent1"/>
          </a:solidFill>
          <a:ln>
            <a:noFill/>
          </a:ln>
          <a:effectLst/>
          <a:sp3d/>
        </c:spPr>
        <c:marker>
          <c:symbol val="none"/>
        </c:marker>
      </c:pivotFmt>
      <c:pivotFmt>
        <c:idx val="522"/>
        <c:spPr>
          <a:solidFill>
            <a:schemeClr val="accent1"/>
          </a:solidFill>
          <a:ln>
            <a:noFill/>
          </a:ln>
          <a:effectLst/>
          <a:sp3d/>
        </c:spPr>
        <c:marker>
          <c:symbol val="none"/>
        </c:marker>
      </c:pivotFmt>
      <c:pivotFmt>
        <c:idx val="523"/>
        <c:spPr>
          <a:solidFill>
            <a:schemeClr val="accent1"/>
          </a:solidFill>
          <a:ln>
            <a:noFill/>
          </a:ln>
          <a:effectLst/>
          <a:sp3d/>
        </c:spPr>
        <c:marker>
          <c:symbol val="none"/>
        </c:marker>
      </c:pivotFmt>
      <c:pivotFmt>
        <c:idx val="524"/>
        <c:spPr>
          <a:solidFill>
            <a:schemeClr val="accent1"/>
          </a:solidFill>
          <a:ln>
            <a:noFill/>
          </a:ln>
          <a:effectLst/>
          <a:sp3d/>
        </c:spPr>
        <c:marker>
          <c:symbol val="none"/>
        </c:marker>
      </c:pivotFmt>
      <c:pivotFmt>
        <c:idx val="525"/>
        <c:spPr>
          <a:solidFill>
            <a:schemeClr val="accent1"/>
          </a:solidFill>
          <a:ln>
            <a:noFill/>
          </a:ln>
          <a:effectLst/>
          <a:sp3d/>
        </c:spPr>
        <c:marker>
          <c:symbol val="none"/>
        </c:marker>
      </c:pivotFmt>
      <c:pivotFmt>
        <c:idx val="526"/>
        <c:spPr>
          <a:solidFill>
            <a:schemeClr val="accent1"/>
          </a:solidFill>
          <a:ln>
            <a:noFill/>
          </a:ln>
          <a:effectLst/>
          <a:sp3d/>
        </c:spPr>
        <c:marker>
          <c:symbol val="none"/>
        </c:marker>
      </c:pivotFmt>
      <c:pivotFmt>
        <c:idx val="527"/>
        <c:spPr>
          <a:solidFill>
            <a:schemeClr val="accent1"/>
          </a:solidFill>
          <a:ln>
            <a:noFill/>
          </a:ln>
          <a:effectLst/>
          <a:sp3d/>
        </c:spPr>
        <c:marker>
          <c:symbol val="none"/>
        </c:marker>
      </c:pivotFmt>
      <c:pivotFmt>
        <c:idx val="528"/>
        <c:spPr>
          <a:solidFill>
            <a:schemeClr val="accent1"/>
          </a:solidFill>
          <a:ln>
            <a:noFill/>
          </a:ln>
          <a:effectLst/>
          <a:sp3d/>
        </c:spPr>
        <c:marker>
          <c:symbol val="none"/>
        </c:marker>
      </c:pivotFmt>
      <c:pivotFmt>
        <c:idx val="529"/>
        <c:spPr>
          <a:solidFill>
            <a:schemeClr val="accent1"/>
          </a:solidFill>
          <a:ln>
            <a:noFill/>
          </a:ln>
          <a:effectLst/>
          <a:sp3d/>
        </c:spPr>
        <c:marker>
          <c:symbol val="none"/>
        </c:marker>
      </c:pivotFmt>
      <c:pivotFmt>
        <c:idx val="530"/>
        <c:spPr>
          <a:solidFill>
            <a:schemeClr val="accent1"/>
          </a:solidFill>
          <a:ln>
            <a:noFill/>
          </a:ln>
          <a:effectLst/>
          <a:sp3d/>
        </c:spPr>
        <c:marker>
          <c:symbol val="none"/>
        </c:marker>
      </c:pivotFmt>
      <c:pivotFmt>
        <c:idx val="531"/>
        <c:spPr>
          <a:solidFill>
            <a:schemeClr val="accent1"/>
          </a:solidFill>
          <a:ln>
            <a:noFill/>
          </a:ln>
          <a:effectLst/>
          <a:sp3d/>
        </c:spPr>
        <c:marker>
          <c:symbol val="none"/>
        </c:marker>
      </c:pivotFmt>
      <c:pivotFmt>
        <c:idx val="532"/>
        <c:spPr>
          <a:solidFill>
            <a:schemeClr val="accent1"/>
          </a:solidFill>
          <a:ln>
            <a:noFill/>
          </a:ln>
          <a:effectLst/>
          <a:sp3d/>
        </c:spPr>
        <c:marker>
          <c:symbol val="none"/>
        </c:marker>
      </c:pivotFmt>
      <c:pivotFmt>
        <c:idx val="533"/>
        <c:spPr>
          <a:solidFill>
            <a:schemeClr val="accent1"/>
          </a:solidFill>
          <a:ln>
            <a:noFill/>
          </a:ln>
          <a:effectLst/>
          <a:sp3d/>
        </c:spPr>
        <c:marker>
          <c:symbol val="none"/>
        </c:marker>
      </c:pivotFmt>
      <c:pivotFmt>
        <c:idx val="534"/>
        <c:spPr>
          <a:solidFill>
            <a:schemeClr val="accent1"/>
          </a:solidFill>
          <a:ln>
            <a:noFill/>
          </a:ln>
          <a:effectLst/>
          <a:sp3d/>
        </c:spPr>
        <c:marker>
          <c:symbol val="none"/>
        </c:marker>
      </c:pivotFmt>
      <c:pivotFmt>
        <c:idx val="535"/>
        <c:spPr>
          <a:solidFill>
            <a:schemeClr val="accent1"/>
          </a:solidFill>
          <a:ln>
            <a:noFill/>
          </a:ln>
          <a:effectLst/>
          <a:sp3d/>
        </c:spPr>
        <c:marker>
          <c:symbol val="none"/>
        </c:marker>
      </c:pivotFmt>
      <c:pivotFmt>
        <c:idx val="536"/>
        <c:spPr>
          <a:solidFill>
            <a:schemeClr val="accent1"/>
          </a:solidFill>
          <a:ln>
            <a:noFill/>
          </a:ln>
          <a:effectLst/>
          <a:sp3d/>
        </c:spPr>
        <c:marker>
          <c:symbol val="none"/>
        </c:marker>
      </c:pivotFmt>
      <c:pivotFmt>
        <c:idx val="537"/>
        <c:spPr>
          <a:solidFill>
            <a:schemeClr val="accent1"/>
          </a:solidFill>
          <a:ln>
            <a:noFill/>
          </a:ln>
          <a:effectLst/>
          <a:sp3d/>
        </c:spPr>
        <c:marker>
          <c:symbol val="none"/>
        </c:marker>
      </c:pivotFmt>
      <c:pivotFmt>
        <c:idx val="538"/>
        <c:spPr>
          <a:solidFill>
            <a:schemeClr val="accent1"/>
          </a:solidFill>
          <a:ln>
            <a:noFill/>
          </a:ln>
          <a:effectLst/>
          <a:sp3d/>
        </c:spPr>
        <c:marker>
          <c:symbol val="none"/>
        </c:marker>
      </c:pivotFmt>
      <c:pivotFmt>
        <c:idx val="539"/>
        <c:spPr>
          <a:solidFill>
            <a:schemeClr val="accent1"/>
          </a:solidFill>
          <a:ln>
            <a:noFill/>
          </a:ln>
          <a:effectLst/>
          <a:sp3d/>
        </c:spPr>
        <c:marker>
          <c:symbol val="none"/>
        </c:marker>
      </c:pivotFmt>
      <c:pivotFmt>
        <c:idx val="540"/>
        <c:spPr>
          <a:solidFill>
            <a:schemeClr val="accent1"/>
          </a:solidFill>
          <a:ln>
            <a:noFill/>
          </a:ln>
          <a:effectLst/>
          <a:sp3d/>
        </c:spPr>
        <c:marker>
          <c:symbol val="none"/>
        </c:marker>
      </c:pivotFmt>
      <c:pivotFmt>
        <c:idx val="541"/>
        <c:spPr>
          <a:solidFill>
            <a:schemeClr val="accent1"/>
          </a:solidFill>
          <a:ln>
            <a:noFill/>
          </a:ln>
          <a:effectLst/>
          <a:sp3d/>
        </c:spPr>
        <c:marker>
          <c:symbol val="none"/>
        </c:marker>
      </c:pivotFmt>
      <c:pivotFmt>
        <c:idx val="542"/>
        <c:spPr>
          <a:solidFill>
            <a:schemeClr val="accent1"/>
          </a:solidFill>
          <a:ln>
            <a:noFill/>
          </a:ln>
          <a:effectLst/>
          <a:sp3d/>
        </c:spPr>
        <c:marker>
          <c:symbol val="none"/>
        </c:marker>
      </c:pivotFmt>
      <c:pivotFmt>
        <c:idx val="543"/>
        <c:spPr>
          <a:solidFill>
            <a:schemeClr val="accent1"/>
          </a:solidFill>
          <a:ln>
            <a:noFill/>
          </a:ln>
          <a:effectLst/>
          <a:sp3d/>
        </c:spPr>
        <c:marker>
          <c:symbol val="none"/>
        </c:marker>
      </c:pivotFmt>
      <c:pivotFmt>
        <c:idx val="544"/>
        <c:spPr>
          <a:solidFill>
            <a:schemeClr val="accent1"/>
          </a:solidFill>
          <a:ln>
            <a:noFill/>
          </a:ln>
          <a:effectLst/>
          <a:sp3d/>
        </c:spPr>
        <c:marker>
          <c:symbol val="none"/>
        </c:marker>
      </c:pivotFmt>
      <c:pivotFmt>
        <c:idx val="545"/>
        <c:spPr>
          <a:solidFill>
            <a:schemeClr val="accent1"/>
          </a:solidFill>
          <a:ln>
            <a:noFill/>
          </a:ln>
          <a:effectLst/>
          <a:sp3d/>
        </c:spPr>
        <c:marker>
          <c:symbol val="none"/>
        </c:marker>
      </c:pivotFmt>
      <c:pivotFmt>
        <c:idx val="546"/>
        <c:spPr>
          <a:solidFill>
            <a:schemeClr val="accent1"/>
          </a:solidFill>
          <a:ln>
            <a:noFill/>
          </a:ln>
          <a:effectLst/>
          <a:sp3d/>
        </c:spPr>
        <c:marker>
          <c:symbol val="none"/>
        </c:marker>
      </c:pivotFmt>
      <c:pivotFmt>
        <c:idx val="547"/>
        <c:spPr>
          <a:solidFill>
            <a:schemeClr val="accent1"/>
          </a:solidFill>
          <a:ln>
            <a:noFill/>
          </a:ln>
          <a:effectLst/>
          <a:sp3d/>
        </c:spPr>
        <c:marker>
          <c:symbol val="none"/>
        </c:marker>
      </c:pivotFmt>
      <c:pivotFmt>
        <c:idx val="548"/>
        <c:spPr>
          <a:solidFill>
            <a:schemeClr val="accent1"/>
          </a:solidFill>
          <a:ln>
            <a:noFill/>
          </a:ln>
          <a:effectLst/>
          <a:sp3d/>
        </c:spPr>
        <c:marker>
          <c:symbol val="none"/>
        </c:marker>
      </c:pivotFmt>
      <c:pivotFmt>
        <c:idx val="549"/>
        <c:spPr>
          <a:solidFill>
            <a:schemeClr val="accent1"/>
          </a:solidFill>
          <a:ln>
            <a:noFill/>
          </a:ln>
          <a:effectLst/>
          <a:sp3d/>
        </c:spPr>
        <c:marker>
          <c:symbol val="none"/>
        </c:marker>
      </c:pivotFmt>
      <c:pivotFmt>
        <c:idx val="550"/>
        <c:spPr>
          <a:solidFill>
            <a:schemeClr val="accent1"/>
          </a:solidFill>
          <a:ln>
            <a:noFill/>
          </a:ln>
          <a:effectLst/>
          <a:sp3d/>
        </c:spPr>
        <c:marker>
          <c:symbol val="none"/>
        </c:marker>
      </c:pivotFmt>
      <c:pivotFmt>
        <c:idx val="551"/>
        <c:spPr>
          <a:solidFill>
            <a:schemeClr val="accent1"/>
          </a:solidFill>
          <a:ln>
            <a:noFill/>
          </a:ln>
          <a:effectLst/>
          <a:sp3d/>
        </c:spPr>
        <c:marker>
          <c:symbol val="none"/>
        </c:marker>
      </c:pivotFmt>
      <c:pivotFmt>
        <c:idx val="552"/>
        <c:spPr>
          <a:solidFill>
            <a:schemeClr val="accent1"/>
          </a:solidFill>
          <a:ln>
            <a:noFill/>
          </a:ln>
          <a:effectLst/>
          <a:sp3d/>
        </c:spPr>
        <c:marker>
          <c:symbol val="none"/>
        </c:marker>
      </c:pivotFmt>
      <c:pivotFmt>
        <c:idx val="553"/>
        <c:spPr>
          <a:solidFill>
            <a:schemeClr val="accent1"/>
          </a:solidFill>
          <a:ln>
            <a:noFill/>
          </a:ln>
          <a:effectLst/>
          <a:sp3d/>
        </c:spPr>
        <c:marker>
          <c:symbol val="none"/>
        </c:marker>
      </c:pivotFmt>
      <c:pivotFmt>
        <c:idx val="554"/>
        <c:spPr>
          <a:solidFill>
            <a:schemeClr val="accent1"/>
          </a:solidFill>
          <a:ln>
            <a:noFill/>
          </a:ln>
          <a:effectLst/>
          <a:sp3d/>
        </c:spPr>
        <c:marker>
          <c:symbol val="none"/>
        </c:marker>
      </c:pivotFmt>
      <c:pivotFmt>
        <c:idx val="555"/>
        <c:spPr>
          <a:solidFill>
            <a:schemeClr val="accent1"/>
          </a:solidFill>
          <a:ln>
            <a:noFill/>
          </a:ln>
          <a:effectLst/>
          <a:sp3d/>
        </c:spPr>
        <c:marker>
          <c:symbol val="none"/>
        </c:marker>
      </c:pivotFmt>
      <c:pivotFmt>
        <c:idx val="556"/>
        <c:spPr>
          <a:solidFill>
            <a:schemeClr val="accent1"/>
          </a:solidFill>
          <a:ln>
            <a:noFill/>
          </a:ln>
          <a:effectLst/>
          <a:sp3d/>
        </c:spPr>
        <c:marker>
          <c:symbol val="none"/>
        </c:marker>
      </c:pivotFmt>
      <c:pivotFmt>
        <c:idx val="557"/>
        <c:spPr>
          <a:solidFill>
            <a:schemeClr val="accent1"/>
          </a:solidFill>
          <a:ln>
            <a:noFill/>
          </a:ln>
          <a:effectLst/>
          <a:sp3d/>
        </c:spPr>
        <c:marker>
          <c:symbol val="none"/>
        </c:marker>
      </c:pivotFmt>
      <c:pivotFmt>
        <c:idx val="558"/>
        <c:spPr>
          <a:solidFill>
            <a:schemeClr val="accent1"/>
          </a:solidFill>
          <a:ln>
            <a:noFill/>
          </a:ln>
          <a:effectLst/>
          <a:sp3d/>
        </c:spPr>
        <c:marker>
          <c:symbol val="none"/>
        </c:marker>
      </c:pivotFmt>
      <c:pivotFmt>
        <c:idx val="559"/>
        <c:spPr>
          <a:solidFill>
            <a:schemeClr val="accent1"/>
          </a:solidFill>
          <a:ln>
            <a:noFill/>
          </a:ln>
          <a:effectLst/>
          <a:sp3d/>
        </c:spPr>
        <c:marker>
          <c:symbol val="none"/>
        </c:marker>
      </c:pivotFmt>
      <c:pivotFmt>
        <c:idx val="560"/>
        <c:spPr>
          <a:solidFill>
            <a:schemeClr val="accent1"/>
          </a:solidFill>
          <a:ln>
            <a:noFill/>
          </a:ln>
          <a:effectLst/>
          <a:sp3d/>
        </c:spPr>
        <c:marker>
          <c:symbol val="none"/>
        </c:marker>
      </c:pivotFmt>
      <c:pivotFmt>
        <c:idx val="561"/>
        <c:spPr>
          <a:solidFill>
            <a:schemeClr val="accent1"/>
          </a:solidFill>
          <a:ln>
            <a:noFill/>
          </a:ln>
          <a:effectLst/>
          <a:sp3d/>
        </c:spPr>
        <c:marker>
          <c:symbol val="none"/>
        </c:marker>
      </c:pivotFmt>
      <c:pivotFmt>
        <c:idx val="562"/>
        <c:spPr>
          <a:solidFill>
            <a:schemeClr val="accent1"/>
          </a:solidFill>
          <a:ln>
            <a:noFill/>
          </a:ln>
          <a:effectLst/>
          <a:sp3d/>
        </c:spPr>
        <c:marker>
          <c:symbol val="none"/>
        </c:marker>
      </c:pivotFmt>
      <c:pivotFmt>
        <c:idx val="563"/>
        <c:spPr>
          <a:solidFill>
            <a:schemeClr val="accent1"/>
          </a:solidFill>
          <a:ln>
            <a:noFill/>
          </a:ln>
          <a:effectLst/>
          <a:sp3d/>
        </c:spPr>
        <c:marker>
          <c:symbol val="none"/>
        </c:marker>
      </c:pivotFmt>
      <c:pivotFmt>
        <c:idx val="564"/>
        <c:spPr>
          <a:solidFill>
            <a:schemeClr val="accent1"/>
          </a:solidFill>
          <a:ln>
            <a:noFill/>
          </a:ln>
          <a:effectLst/>
          <a:sp3d/>
        </c:spPr>
        <c:marker>
          <c:symbol val="none"/>
        </c:marker>
      </c:pivotFmt>
      <c:pivotFmt>
        <c:idx val="565"/>
        <c:spPr>
          <a:solidFill>
            <a:schemeClr val="accent1"/>
          </a:solidFill>
          <a:ln>
            <a:noFill/>
          </a:ln>
          <a:effectLst/>
          <a:sp3d/>
        </c:spPr>
        <c:marker>
          <c:symbol val="none"/>
        </c:marker>
      </c:pivotFmt>
      <c:pivotFmt>
        <c:idx val="566"/>
        <c:spPr>
          <a:solidFill>
            <a:schemeClr val="accent1"/>
          </a:solidFill>
          <a:ln>
            <a:noFill/>
          </a:ln>
          <a:effectLst/>
          <a:sp3d/>
        </c:spPr>
        <c:marker>
          <c:symbol val="none"/>
        </c:marker>
      </c:pivotFmt>
      <c:pivotFmt>
        <c:idx val="567"/>
        <c:spPr>
          <a:solidFill>
            <a:schemeClr val="accent1"/>
          </a:solidFill>
          <a:ln>
            <a:noFill/>
          </a:ln>
          <a:effectLst/>
          <a:sp3d/>
        </c:spPr>
        <c:marker>
          <c:symbol val="none"/>
        </c:marker>
      </c:pivotFmt>
      <c:pivotFmt>
        <c:idx val="568"/>
        <c:spPr>
          <a:solidFill>
            <a:schemeClr val="accent1"/>
          </a:solidFill>
          <a:ln>
            <a:noFill/>
          </a:ln>
          <a:effectLst/>
          <a:sp3d/>
        </c:spPr>
        <c:marker>
          <c:symbol val="none"/>
        </c:marker>
      </c:pivotFmt>
      <c:pivotFmt>
        <c:idx val="569"/>
        <c:spPr>
          <a:solidFill>
            <a:schemeClr val="accent1"/>
          </a:solidFill>
          <a:ln>
            <a:noFill/>
          </a:ln>
          <a:effectLst/>
          <a:sp3d/>
        </c:spPr>
        <c:marker>
          <c:symbol val="none"/>
        </c:marker>
      </c:pivotFmt>
      <c:pivotFmt>
        <c:idx val="570"/>
        <c:spPr>
          <a:solidFill>
            <a:schemeClr val="accent1"/>
          </a:solidFill>
          <a:ln>
            <a:noFill/>
          </a:ln>
          <a:effectLst/>
          <a:sp3d/>
        </c:spPr>
        <c:marker>
          <c:symbol val="none"/>
        </c:marker>
      </c:pivotFmt>
      <c:pivotFmt>
        <c:idx val="571"/>
        <c:spPr>
          <a:solidFill>
            <a:schemeClr val="accent1"/>
          </a:solidFill>
          <a:ln>
            <a:noFill/>
          </a:ln>
          <a:effectLst/>
          <a:sp3d/>
        </c:spPr>
        <c:marker>
          <c:symbol val="none"/>
        </c:marker>
      </c:pivotFmt>
      <c:pivotFmt>
        <c:idx val="572"/>
        <c:spPr>
          <a:solidFill>
            <a:schemeClr val="accent1"/>
          </a:solidFill>
          <a:ln>
            <a:noFill/>
          </a:ln>
          <a:effectLst/>
          <a:sp3d/>
        </c:spPr>
        <c:marker>
          <c:symbol val="none"/>
        </c:marker>
      </c:pivotFmt>
      <c:pivotFmt>
        <c:idx val="573"/>
        <c:spPr>
          <a:solidFill>
            <a:schemeClr val="accent1"/>
          </a:solidFill>
          <a:ln>
            <a:noFill/>
          </a:ln>
          <a:effectLst/>
          <a:sp3d/>
        </c:spPr>
        <c:marker>
          <c:symbol val="none"/>
        </c:marker>
      </c:pivotFmt>
      <c:pivotFmt>
        <c:idx val="574"/>
        <c:spPr>
          <a:solidFill>
            <a:schemeClr val="accent1"/>
          </a:solidFill>
          <a:ln>
            <a:noFill/>
          </a:ln>
          <a:effectLst/>
          <a:sp3d/>
        </c:spPr>
        <c:marker>
          <c:symbol val="none"/>
        </c:marker>
      </c:pivotFmt>
      <c:pivotFmt>
        <c:idx val="575"/>
        <c:spPr>
          <a:solidFill>
            <a:schemeClr val="accent1"/>
          </a:solidFill>
          <a:ln>
            <a:noFill/>
          </a:ln>
          <a:effectLst/>
          <a:sp3d/>
        </c:spPr>
        <c:marker>
          <c:symbol val="none"/>
        </c:marker>
      </c:pivotFmt>
      <c:pivotFmt>
        <c:idx val="576"/>
        <c:spPr>
          <a:solidFill>
            <a:schemeClr val="accent1"/>
          </a:solidFill>
          <a:ln>
            <a:noFill/>
          </a:ln>
          <a:effectLst/>
          <a:sp3d/>
        </c:spPr>
        <c:marker>
          <c:symbol val="none"/>
        </c:marker>
      </c:pivotFmt>
      <c:pivotFmt>
        <c:idx val="5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a:sp3d/>
        </c:spPr>
        <c:marker>
          <c:symbol val="none"/>
        </c:marker>
      </c:pivotFmt>
      <c:pivotFmt>
        <c:idx val="643"/>
        <c:spPr>
          <a:solidFill>
            <a:schemeClr val="accent1"/>
          </a:solidFill>
          <a:ln>
            <a:noFill/>
          </a:ln>
          <a:effectLst/>
          <a:sp3d/>
        </c:spPr>
        <c:marker>
          <c:symbol val="none"/>
        </c:marker>
      </c:pivotFmt>
      <c:pivotFmt>
        <c:idx val="644"/>
        <c:spPr>
          <a:solidFill>
            <a:schemeClr val="accent1"/>
          </a:solidFill>
          <a:ln>
            <a:noFill/>
          </a:ln>
          <a:effectLst/>
          <a:sp3d/>
        </c:spPr>
        <c:marker>
          <c:symbol val="none"/>
        </c:marker>
      </c:pivotFmt>
      <c:pivotFmt>
        <c:idx val="645"/>
        <c:spPr>
          <a:solidFill>
            <a:schemeClr val="accent1"/>
          </a:solidFill>
          <a:ln>
            <a:noFill/>
          </a:ln>
          <a:effectLst/>
          <a:sp3d/>
        </c:spPr>
        <c:marker>
          <c:symbol val="none"/>
        </c:marker>
      </c:pivotFmt>
      <c:pivotFmt>
        <c:idx val="646"/>
        <c:spPr>
          <a:solidFill>
            <a:schemeClr val="accent1"/>
          </a:solidFill>
          <a:ln>
            <a:noFill/>
          </a:ln>
          <a:effectLst/>
          <a:sp3d/>
        </c:spPr>
        <c:marker>
          <c:symbol val="none"/>
        </c:marker>
      </c:pivotFmt>
      <c:pivotFmt>
        <c:idx val="647"/>
        <c:spPr>
          <a:solidFill>
            <a:schemeClr val="accent1"/>
          </a:solidFill>
          <a:ln>
            <a:noFill/>
          </a:ln>
          <a:effectLst/>
          <a:sp3d/>
        </c:spPr>
        <c:marker>
          <c:symbol val="none"/>
        </c:marker>
      </c:pivotFmt>
      <c:pivotFmt>
        <c:idx val="648"/>
        <c:spPr>
          <a:solidFill>
            <a:schemeClr val="accent1"/>
          </a:solidFill>
          <a:ln>
            <a:noFill/>
          </a:ln>
          <a:effectLst/>
          <a:sp3d/>
        </c:spPr>
        <c:marker>
          <c:symbol val="none"/>
        </c:marker>
      </c:pivotFmt>
      <c:pivotFmt>
        <c:idx val="649"/>
        <c:spPr>
          <a:solidFill>
            <a:schemeClr val="accent1"/>
          </a:solidFill>
          <a:ln>
            <a:noFill/>
          </a:ln>
          <a:effectLst/>
          <a:sp3d/>
        </c:spPr>
        <c:marker>
          <c:symbol val="none"/>
        </c:marker>
      </c:pivotFmt>
      <c:pivotFmt>
        <c:idx val="650"/>
        <c:spPr>
          <a:solidFill>
            <a:schemeClr val="accent1"/>
          </a:solidFill>
          <a:ln>
            <a:noFill/>
          </a:ln>
          <a:effectLst/>
          <a:sp3d/>
        </c:spPr>
        <c:marker>
          <c:symbol val="none"/>
        </c:marker>
      </c:pivotFmt>
      <c:pivotFmt>
        <c:idx val="651"/>
        <c:spPr>
          <a:solidFill>
            <a:schemeClr val="accent1"/>
          </a:solidFill>
          <a:ln>
            <a:noFill/>
          </a:ln>
          <a:effectLst/>
          <a:sp3d/>
        </c:spPr>
        <c:marker>
          <c:symbol val="none"/>
        </c:marker>
      </c:pivotFmt>
      <c:pivotFmt>
        <c:idx val="652"/>
        <c:spPr>
          <a:solidFill>
            <a:schemeClr val="accent1"/>
          </a:solidFill>
          <a:ln>
            <a:noFill/>
          </a:ln>
          <a:effectLst/>
          <a:sp3d/>
        </c:spPr>
        <c:marker>
          <c:symbol val="none"/>
        </c:marker>
      </c:pivotFmt>
      <c:pivotFmt>
        <c:idx val="653"/>
        <c:spPr>
          <a:solidFill>
            <a:schemeClr val="accent1"/>
          </a:solidFill>
          <a:ln>
            <a:noFill/>
          </a:ln>
          <a:effectLst/>
          <a:sp3d/>
        </c:spPr>
        <c:marker>
          <c:symbol val="none"/>
        </c:marker>
      </c:pivotFmt>
      <c:pivotFmt>
        <c:idx val="654"/>
        <c:spPr>
          <a:solidFill>
            <a:schemeClr val="accent1"/>
          </a:solidFill>
          <a:ln>
            <a:noFill/>
          </a:ln>
          <a:effectLst/>
          <a:sp3d/>
        </c:spPr>
        <c:marker>
          <c:symbol val="none"/>
        </c:marker>
      </c:pivotFmt>
      <c:pivotFmt>
        <c:idx val="655"/>
        <c:spPr>
          <a:solidFill>
            <a:schemeClr val="accent1"/>
          </a:solidFill>
          <a:ln>
            <a:noFill/>
          </a:ln>
          <a:effectLst/>
          <a:sp3d/>
        </c:spPr>
        <c:marker>
          <c:symbol val="none"/>
        </c:marker>
      </c:pivotFmt>
      <c:pivotFmt>
        <c:idx val="656"/>
        <c:spPr>
          <a:solidFill>
            <a:schemeClr val="accent1"/>
          </a:solidFill>
          <a:ln>
            <a:noFill/>
          </a:ln>
          <a:effectLst/>
          <a:sp3d/>
        </c:spPr>
        <c:marker>
          <c:symbol val="none"/>
        </c:marker>
      </c:pivotFmt>
      <c:pivotFmt>
        <c:idx val="657"/>
        <c:spPr>
          <a:solidFill>
            <a:schemeClr val="accent1"/>
          </a:solidFill>
          <a:ln>
            <a:noFill/>
          </a:ln>
          <a:effectLst/>
          <a:sp3d/>
        </c:spPr>
        <c:marker>
          <c:symbol val="none"/>
        </c:marker>
      </c:pivotFmt>
      <c:pivotFmt>
        <c:idx val="658"/>
        <c:spPr>
          <a:solidFill>
            <a:schemeClr val="accent1"/>
          </a:solidFill>
          <a:ln>
            <a:noFill/>
          </a:ln>
          <a:effectLst/>
          <a:sp3d/>
        </c:spPr>
        <c:marker>
          <c:symbol val="none"/>
        </c:marker>
      </c:pivotFmt>
      <c:pivotFmt>
        <c:idx val="659"/>
        <c:spPr>
          <a:solidFill>
            <a:schemeClr val="accent1"/>
          </a:solidFill>
          <a:ln>
            <a:noFill/>
          </a:ln>
          <a:effectLst/>
          <a:sp3d/>
        </c:spPr>
        <c:marker>
          <c:symbol val="none"/>
        </c:marker>
      </c:pivotFmt>
      <c:pivotFmt>
        <c:idx val="660"/>
        <c:spPr>
          <a:solidFill>
            <a:schemeClr val="accent1"/>
          </a:solidFill>
          <a:ln>
            <a:noFill/>
          </a:ln>
          <a:effectLst/>
          <a:sp3d/>
        </c:spPr>
        <c:marker>
          <c:symbol val="none"/>
        </c:marker>
      </c:pivotFmt>
      <c:pivotFmt>
        <c:idx val="661"/>
        <c:spPr>
          <a:solidFill>
            <a:schemeClr val="accent1"/>
          </a:solidFill>
          <a:ln>
            <a:noFill/>
          </a:ln>
          <a:effectLst/>
          <a:sp3d/>
        </c:spPr>
        <c:marker>
          <c:symbol val="none"/>
        </c:marker>
      </c:pivotFmt>
      <c:pivotFmt>
        <c:idx val="662"/>
        <c:spPr>
          <a:solidFill>
            <a:schemeClr val="accent1"/>
          </a:solidFill>
          <a:ln>
            <a:noFill/>
          </a:ln>
          <a:effectLst/>
          <a:sp3d/>
        </c:spPr>
        <c:marker>
          <c:symbol val="none"/>
        </c:marker>
      </c:pivotFmt>
      <c:pivotFmt>
        <c:idx val="663"/>
        <c:spPr>
          <a:solidFill>
            <a:schemeClr val="accent1"/>
          </a:solidFill>
          <a:ln>
            <a:noFill/>
          </a:ln>
          <a:effectLst/>
          <a:sp3d/>
        </c:spPr>
        <c:marker>
          <c:symbol val="none"/>
        </c:marker>
      </c:pivotFmt>
      <c:pivotFmt>
        <c:idx val="664"/>
        <c:spPr>
          <a:solidFill>
            <a:schemeClr val="accent1"/>
          </a:solidFill>
          <a:ln>
            <a:noFill/>
          </a:ln>
          <a:effectLst/>
          <a:sp3d/>
        </c:spPr>
        <c:marker>
          <c:symbol val="none"/>
        </c:marker>
      </c:pivotFmt>
      <c:pivotFmt>
        <c:idx val="665"/>
        <c:spPr>
          <a:solidFill>
            <a:schemeClr val="accent1"/>
          </a:solidFill>
          <a:ln>
            <a:noFill/>
          </a:ln>
          <a:effectLst/>
          <a:sp3d/>
        </c:spPr>
        <c:marker>
          <c:symbol val="none"/>
        </c:marker>
      </c:pivotFmt>
      <c:pivotFmt>
        <c:idx val="666"/>
        <c:spPr>
          <a:solidFill>
            <a:schemeClr val="accent1"/>
          </a:solidFill>
          <a:ln>
            <a:noFill/>
          </a:ln>
          <a:effectLst/>
          <a:sp3d/>
        </c:spPr>
        <c:marker>
          <c:symbol val="none"/>
        </c:marker>
      </c:pivotFmt>
      <c:pivotFmt>
        <c:idx val="667"/>
        <c:spPr>
          <a:solidFill>
            <a:schemeClr val="accent1"/>
          </a:solidFill>
          <a:ln>
            <a:noFill/>
          </a:ln>
          <a:effectLst/>
          <a:sp3d/>
        </c:spPr>
        <c:marker>
          <c:symbol val="none"/>
        </c:marker>
      </c:pivotFmt>
      <c:pivotFmt>
        <c:idx val="668"/>
        <c:spPr>
          <a:solidFill>
            <a:schemeClr val="accent1"/>
          </a:solidFill>
          <a:ln>
            <a:noFill/>
          </a:ln>
          <a:effectLst/>
          <a:sp3d/>
        </c:spPr>
        <c:marker>
          <c:symbol val="none"/>
        </c:marker>
      </c:pivotFmt>
      <c:pivotFmt>
        <c:idx val="669"/>
        <c:spPr>
          <a:solidFill>
            <a:schemeClr val="accent1"/>
          </a:solidFill>
          <a:ln>
            <a:noFill/>
          </a:ln>
          <a:effectLst/>
          <a:sp3d/>
        </c:spPr>
        <c:marker>
          <c:symbol val="none"/>
        </c:marker>
      </c:pivotFmt>
      <c:pivotFmt>
        <c:idx val="670"/>
        <c:spPr>
          <a:solidFill>
            <a:schemeClr val="accent1"/>
          </a:solidFill>
          <a:ln>
            <a:noFill/>
          </a:ln>
          <a:effectLst/>
          <a:sp3d/>
        </c:spPr>
        <c:marker>
          <c:symbol val="none"/>
        </c:marker>
      </c:pivotFmt>
      <c:pivotFmt>
        <c:idx val="671"/>
        <c:spPr>
          <a:solidFill>
            <a:schemeClr val="accent1"/>
          </a:solidFill>
          <a:ln>
            <a:noFill/>
          </a:ln>
          <a:effectLst/>
          <a:sp3d/>
        </c:spPr>
        <c:marker>
          <c:symbol val="none"/>
        </c:marker>
      </c:pivotFmt>
      <c:pivotFmt>
        <c:idx val="672"/>
        <c:spPr>
          <a:solidFill>
            <a:schemeClr val="accent1"/>
          </a:solidFill>
          <a:ln>
            <a:noFill/>
          </a:ln>
          <a:effectLst/>
          <a:sp3d/>
        </c:spPr>
        <c:marker>
          <c:symbol val="none"/>
        </c:marker>
      </c:pivotFmt>
      <c:pivotFmt>
        <c:idx val="673"/>
        <c:spPr>
          <a:solidFill>
            <a:schemeClr val="accent1"/>
          </a:solidFill>
          <a:ln>
            <a:noFill/>
          </a:ln>
          <a:effectLst/>
          <a:sp3d/>
        </c:spPr>
        <c:marker>
          <c:symbol val="none"/>
        </c:marker>
      </c:pivotFmt>
      <c:pivotFmt>
        <c:idx val="674"/>
        <c:spPr>
          <a:solidFill>
            <a:schemeClr val="accent1"/>
          </a:solidFill>
          <a:ln>
            <a:noFill/>
          </a:ln>
          <a:effectLst/>
          <a:sp3d/>
        </c:spPr>
        <c:marker>
          <c:symbol val="none"/>
        </c:marker>
      </c:pivotFmt>
      <c:pivotFmt>
        <c:idx val="675"/>
        <c:spPr>
          <a:solidFill>
            <a:schemeClr val="accent1"/>
          </a:solidFill>
          <a:ln>
            <a:noFill/>
          </a:ln>
          <a:effectLst/>
          <a:sp3d/>
        </c:spPr>
        <c:marker>
          <c:symbol val="none"/>
        </c:marker>
      </c:pivotFmt>
      <c:pivotFmt>
        <c:idx val="676"/>
        <c:spPr>
          <a:solidFill>
            <a:schemeClr val="accent1"/>
          </a:solidFill>
          <a:ln>
            <a:noFill/>
          </a:ln>
          <a:effectLst/>
          <a:sp3d/>
        </c:spPr>
        <c:marker>
          <c:symbol val="none"/>
        </c:marker>
      </c:pivotFmt>
      <c:pivotFmt>
        <c:idx val="677"/>
        <c:spPr>
          <a:solidFill>
            <a:schemeClr val="accent1"/>
          </a:solidFill>
          <a:ln>
            <a:noFill/>
          </a:ln>
          <a:effectLst/>
          <a:sp3d/>
        </c:spPr>
        <c:marker>
          <c:symbol val="none"/>
        </c:marker>
      </c:pivotFmt>
      <c:pivotFmt>
        <c:idx val="678"/>
        <c:spPr>
          <a:solidFill>
            <a:schemeClr val="accent1"/>
          </a:solidFill>
          <a:ln>
            <a:noFill/>
          </a:ln>
          <a:effectLst/>
          <a:sp3d/>
        </c:spPr>
        <c:marker>
          <c:symbol val="none"/>
        </c:marker>
      </c:pivotFmt>
      <c:pivotFmt>
        <c:idx val="679"/>
        <c:spPr>
          <a:solidFill>
            <a:schemeClr val="accent1"/>
          </a:solidFill>
          <a:ln>
            <a:noFill/>
          </a:ln>
          <a:effectLst/>
          <a:sp3d/>
        </c:spPr>
        <c:marker>
          <c:symbol val="none"/>
        </c:marker>
      </c:pivotFmt>
      <c:pivotFmt>
        <c:idx val="680"/>
        <c:spPr>
          <a:solidFill>
            <a:schemeClr val="accent1"/>
          </a:solidFill>
          <a:ln>
            <a:noFill/>
          </a:ln>
          <a:effectLst/>
          <a:sp3d/>
        </c:spPr>
        <c:marker>
          <c:symbol val="none"/>
        </c:marker>
      </c:pivotFmt>
      <c:pivotFmt>
        <c:idx val="681"/>
        <c:spPr>
          <a:solidFill>
            <a:schemeClr val="accent1"/>
          </a:solidFill>
          <a:ln>
            <a:noFill/>
          </a:ln>
          <a:effectLst/>
          <a:sp3d/>
        </c:spPr>
        <c:marker>
          <c:symbol val="none"/>
        </c:marker>
      </c:pivotFmt>
      <c:pivotFmt>
        <c:idx val="682"/>
        <c:spPr>
          <a:solidFill>
            <a:schemeClr val="accent1"/>
          </a:solidFill>
          <a:ln>
            <a:noFill/>
          </a:ln>
          <a:effectLst/>
          <a:sp3d/>
        </c:spPr>
        <c:marker>
          <c:symbol val="none"/>
        </c:marker>
      </c:pivotFmt>
      <c:pivotFmt>
        <c:idx val="683"/>
        <c:spPr>
          <a:solidFill>
            <a:schemeClr val="accent1"/>
          </a:solidFill>
          <a:ln>
            <a:noFill/>
          </a:ln>
          <a:effectLst/>
          <a:sp3d/>
        </c:spPr>
        <c:marker>
          <c:symbol val="none"/>
        </c:marker>
      </c:pivotFmt>
      <c:pivotFmt>
        <c:idx val="684"/>
        <c:spPr>
          <a:solidFill>
            <a:schemeClr val="accent1"/>
          </a:solidFill>
          <a:ln>
            <a:noFill/>
          </a:ln>
          <a:effectLst/>
          <a:sp3d/>
        </c:spPr>
        <c:marker>
          <c:symbol val="none"/>
        </c:marker>
      </c:pivotFmt>
      <c:pivotFmt>
        <c:idx val="685"/>
        <c:spPr>
          <a:solidFill>
            <a:schemeClr val="accent1"/>
          </a:solidFill>
          <a:ln>
            <a:noFill/>
          </a:ln>
          <a:effectLst/>
          <a:sp3d/>
        </c:spPr>
        <c:marker>
          <c:symbol val="none"/>
        </c:marker>
      </c:pivotFmt>
      <c:pivotFmt>
        <c:idx val="686"/>
        <c:spPr>
          <a:solidFill>
            <a:schemeClr val="accent1"/>
          </a:solidFill>
          <a:ln>
            <a:noFill/>
          </a:ln>
          <a:effectLst/>
          <a:sp3d/>
        </c:spPr>
        <c:marker>
          <c:symbol val="none"/>
        </c:marker>
      </c:pivotFmt>
      <c:pivotFmt>
        <c:idx val="687"/>
        <c:spPr>
          <a:solidFill>
            <a:schemeClr val="accent1"/>
          </a:solidFill>
          <a:ln>
            <a:noFill/>
          </a:ln>
          <a:effectLst/>
          <a:sp3d/>
        </c:spPr>
        <c:marker>
          <c:symbol val="none"/>
        </c:marker>
      </c:pivotFmt>
      <c:pivotFmt>
        <c:idx val="688"/>
        <c:spPr>
          <a:solidFill>
            <a:schemeClr val="accent1"/>
          </a:solidFill>
          <a:ln>
            <a:noFill/>
          </a:ln>
          <a:effectLst/>
          <a:sp3d/>
        </c:spPr>
        <c:marker>
          <c:symbol val="none"/>
        </c:marker>
      </c:pivotFmt>
      <c:pivotFmt>
        <c:idx val="689"/>
        <c:spPr>
          <a:solidFill>
            <a:schemeClr val="accent1"/>
          </a:solidFill>
          <a:ln>
            <a:noFill/>
          </a:ln>
          <a:effectLst/>
          <a:sp3d/>
        </c:spPr>
        <c:marker>
          <c:symbol val="none"/>
        </c:marker>
      </c:pivotFmt>
      <c:pivotFmt>
        <c:idx val="690"/>
        <c:spPr>
          <a:solidFill>
            <a:schemeClr val="accent1"/>
          </a:solidFill>
          <a:ln>
            <a:noFill/>
          </a:ln>
          <a:effectLst/>
          <a:sp3d/>
        </c:spPr>
        <c:marker>
          <c:symbol val="none"/>
        </c:marker>
      </c:pivotFmt>
      <c:pivotFmt>
        <c:idx val="691"/>
        <c:spPr>
          <a:solidFill>
            <a:schemeClr val="accent1"/>
          </a:solidFill>
          <a:ln>
            <a:noFill/>
          </a:ln>
          <a:effectLst/>
          <a:sp3d/>
        </c:spPr>
        <c:marker>
          <c:symbol val="none"/>
        </c:marker>
      </c:pivotFmt>
      <c:pivotFmt>
        <c:idx val="692"/>
        <c:spPr>
          <a:solidFill>
            <a:schemeClr val="accent1"/>
          </a:solidFill>
          <a:ln>
            <a:noFill/>
          </a:ln>
          <a:effectLst/>
          <a:sp3d/>
        </c:spPr>
        <c:marker>
          <c:symbol val="none"/>
        </c:marker>
      </c:pivotFmt>
      <c:pivotFmt>
        <c:idx val="693"/>
        <c:spPr>
          <a:solidFill>
            <a:schemeClr val="accent1"/>
          </a:solidFill>
          <a:ln>
            <a:noFill/>
          </a:ln>
          <a:effectLst/>
          <a:sp3d/>
        </c:spPr>
        <c:marker>
          <c:symbol val="none"/>
        </c:marker>
      </c:pivotFmt>
      <c:pivotFmt>
        <c:idx val="694"/>
        <c:spPr>
          <a:solidFill>
            <a:schemeClr val="accent1"/>
          </a:solidFill>
          <a:ln>
            <a:noFill/>
          </a:ln>
          <a:effectLst/>
          <a:sp3d/>
        </c:spPr>
        <c:marker>
          <c:symbol val="none"/>
        </c:marker>
      </c:pivotFmt>
      <c:pivotFmt>
        <c:idx val="695"/>
        <c:spPr>
          <a:solidFill>
            <a:schemeClr val="accent1"/>
          </a:solidFill>
          <a:ln>
            <a:noFill/>
          </a:ln>
          <a:effectLst/>
          <a:sp3d/>
        </c:spPr>
        <c:marker>
          <c:symbol val="none"/>
        </c:marker>
      </c:pivotFmt>
      <c:pivotFmt>
        <c:idx val="696"/>
        <c:spPr>
          <a:solidFill>
            <a:schemeClr val="accent1"/>
          </a:solidFill>
          <a:ln>
            <a:noFill/>
          </a:ln>
          <a:effectLst/>
          <a:sp3d/>
        </c:spPr>
        <c:marker>
          <c:symbol val="none"/>
        </c:marker>
      </c:pivotFmt>
      <c:pivotFmt>
        <c:idx val="697"/>
        <c:spPr>
          <a:solidFill>
            <a:schemeClr val="accent1"/>
          </a:solidFill>
          <a:ln>
            <a:noFill/>
          </a:ln>
          <a:effectLst/>
          <a:sp3d/>
        </c:spPr>
        <c:marker>
          <c:symbol val="none"/>
        </c:marker>
      </c:pivotFmt>
      <c:pivotFmt>
        <c:idx val="698"/>
        <c:spPr>
          <a:solidFill>
            <a:schemeClr val="accent1"/>
          </a:solidFill>
          <a:ln>
            <a:noFill/>
          </a:ln>
          <a:effectLst/>
          <a:sp3d/>
        </c:spPr>
        <c:marker>
          <c:symbol val="none"/>
        </c:marker>
      </c:pivotFmt>
      <c:pivotFmt>
        <c:idx val="699"/>
        <c:spPr>
          <a:solidFill>
            <a:schemeClr val="accent1"/>
          </a:solidFill>
          <a:ln>
            <a:noFill/>
          </a:ln>
          <a:effectLst/>
          <a:sp3d/>
        </c:spPr>
        <c:marker>
          <c:symbol val="none"/>
        </c:marker>
      </c:pivotFmt>
      <c:pivotFmt>
        <c:idx val="700"/>
        <c:spPr>
          <a:solidFill>
            <a:schemeClr val="accent1"/>
          </a:solidFill>
          <a:ln>
            <a:noFill/>
          </a:ln>
          <a:effectLst/>
          <a:sp3d/>
        </c:spPr>
        <c:marker>
          <c:symbol val="none"/>
        </c:marker>
      </c:pivotFmt>
      <c:pivotFmt>
        <c:idx val="701"/>
        <c:spPr>
          <a:solidFill>
            <a:schemeClr val="accent1"/>
          </a:solidFill>
          <a:ln>
            <a:noFill/>
          </a:ln>
          <a:effectLst/>
          <a:sp3d/>
        </c:spPr>
        <c:marker>
          <c:symbol val="none"/>
        </c:marker>
      </c:pivotFmt>
      <c:pivotFmt>
        <c:idx val="702"/>
        <c:spPr>
          <a:solidFill>
            <a:schemeClr val="accent1"/>
          </a:solidFill>
          <a:ln>
            <a:noFill/>
          </a:ln>
          <a:effectLst/>
          <a:sp3d/>
        </c:spPr>
        <c:marker>
          <c:symbol val="none"/>
        </c:marker>
      </c:pivotFmt>
      <c:pivotFmt>
        <c:idx val="703"/>
        <c:spPr>
          <a:solidFill>
            <a:schemeClr val="accent1"/>
          </a:solidFill>
          <a:ln>
            <a:noFill/>
          </a:ln>
          <a:effectLst/>
          <a:sp3d/>
        </c:spPr>
        <c:marker>
          <c:symbol val="none"/>
        </c:marker>
      </c:pivotFmt>
      <c:pivotFmt>
        <c:idx val="704"/>
        <c:spPr>
          <a:solidFill>
            <a:schemeClr val="accent1"/>
          </a:solidFill>
          <a:ln>
            <a:noFill/>
          </a:ln>
          <a:effectLst/>
          <a:sp3d/>
        </c:spPr>
        <c:marker>
          <c:symbol val="none"/>
        </c:marker>
      </c:pivotFmt>
      <c:pivotFmt>
        <c:idx val="705"/>
        <c:spPr>
          <a:solidFill>
            <a:schemeClr val="accent1"/>
          </a:solidFill>
          <a:ln>
            <a:noFill/>
          </a:ln>
          <a:effectLst/>
          <a:sp3d/>
        </c:spPr>
        <c:marker>
          <c:symbol val="none"/>
        </c:marker>
      </c:pivotFmt>
      <c:pivotFmt>
        <c:idx val="706"/>
        <c:spPr>
          <a:solidFill>
            <a:schemeClr val="accent1"/>
          </a:solidFill>
          <a:ln>
            <a:noFill/>
          </a:ln>
          <a:effectLst/>
          <a:sp3d/>
        </c:spPr>
        <c:marker>
          <c:symbol val="none"/>
        </c:marker>
      </c:pivotFmt>
      <c:pivotFmt>
        <c:idx val="707"/>
        <c:spPr>
          <a:solidFill>
            <a:schemeClr val="accent1"/>
          </a:solidFill>
          <a:ln>
            <a:noFill/>
          </a:ln>
          <a:effectLst/>
          <a:sp3d/>
        </c:spPr>
        <c:marker>
          <c:symbol val="none"/>
        </c:marker>
      </c:pivotFmt>
      <c:pivotFmt>
        <c:idx val="708"/>
        <c:spPr>
          <a:solidFill>
            <a:schemeClr val="accent1"/>
          </a:solidFill>
          <a:ln>
            <a:noFill/>
          </a:ln>
          <a:effectLst/>
          <a:sp3d/>
        </c:spPr>
        <c:marker>
          <c:symbol val="none"/>
        </c:marker>
      </c:pivotFmt>
      <c:pivotFmt>
        <c:idx val="709"/>
        <c:spPr>
          <a:solidFill>
            <a:schemeClr val="accent1"/>
          </a:solidFill>
          <a:ln>
            <a:noFill/>
          </a:ln>
          <a:effectLst/>
          <a:sp3d/>
        </c:spPr>
        <c:marker>
          <c:symbol val="none"/>
        </c:marker>
      </c:pivotFmt>
      <c:pivotFmt>
        <c:idx val="710"/>
        <c:spPr>
          <a:solidFill>
            <a:schemeClr val="accent1"/>
          </a:solidFill>
          <a:ln>
            <a:noFill/>
          </a:ln>
          <a:effectLst/>
          <a:sp3d/>
        </c:spPr>
        <c:marker>
          <c:symbol val="none"/>
        </c:marker>
      </c:pivotFmt>
      <c:pivotFmt>
        <c:idx val="711"/>
        <c:spPr>
          <a:solidFill>
            <a:schemeClr val="accent1"/>
          </a:solidFill>
          <a:ln>
            <a:noFill/>
          </a:ln>
          <a:effectLst/>
          <a:sp3d/>
        </c:spPr>
        <c:marker>
          <c:symbol val="none"/>
        </c:marker>
      </c:pivotFmt>
      <c:pivotFmt>
        <c:idx val="712"/>
        <c:spPr>
          <a:solidFill>
            <a:schemeClr val="accent1"/>
          </a:solidFill>
          <a:ln>
            <a:noFill/>
          </a:ln>
          <a:effectLst/>
          <a:sp3d/>
        </c:spPr>
        <c:marker>
          <c:symbol val="none"/>
        </c:marker>
      </c:pivotFmt>
      <c:pivotFmt>
        <c:idx val="713"/>
        <c:spPr>
          <a:solidFill>
            <a:schemeClr val="accent1"/>
          </a:solidFill>
          <a:ln>
            <a:noFill/>
          </a:ln>
          <a:effectLst/>
          <a:sp3d/>
        </c:spPr>
        <c:marker>
          <c:symbol val="none"/>
        </c:marker>
      </c:pivotFmt>
      <c:pivotFmt>
        <c:idx val="714"/>
        <c:spPr>
          <a:solidFill>
            <a:schemeClr val="accent1"/>
          </a:solidFill>
          <a:ln>
            <a:noFill/>
          </a:ln>
          <a:effectLst/>
          <a:sp3d/>
        </c:spPr>
        <c:marker>
          <c:symbol val="none"/>
        </c:marker>
      </c:pivotFmt>
      <c:pivotFmt>
        <c:idx val="715"/>
        <c:spPr>
          <a:solidFill>
            <a:schemeClr val="accent1"/>
          </a:solidFill>
          <a:ln>
            <a:noFill/>
          </a:ln>
          <a:effectLst/>
          <a:sp3d/>
        </c:spPr>
        <c:marker>
          <c:symbol val="none"/>
        </c:marker>
      </c:pivotFmt>
      <c:pivotFmt>
        <c:idx val="716"/>
        <c:spPr>
          <a:solidFill>
            <a:schemeClr val="accent1"/>
          </a:solidFill>
          <a:ln>
            <a:noFill/>
          </a:ln>
          <a:effectLst/>
          <a:sp3d/>
        </c:spPr>
        <c:marker>
          <c:symbol val="none"/>
        </c:marker>
      </c:pivotFmt>
      <c:pivotFmt>
        <c:idx val="717"/>
        <c:spPr>
          <a:solidFill>
            <a:schemeClr val="accent1"/>
          </a:solidFill>
          <a:ln>
            <a:noFill/>
          </a:ln>
          <a:effectLst/>
          <a:sp3d/>
        </c:spPr>
        <c:marker>
          <c:symbol val="none"/>
        </c:marker>
      </c:pivotFmt>
      <c:pivotFmt>
        <c:idx val="718"/>
        <c:spPr>
          <a:solidFill>
            <a:schemeClr val="accent1"/>
          </a:solidFill>
          <a:ln>
            <a:noFill/>
          </a:ln>
          <a:effectLst/>
          <a:sp3d/>
        </c:spPr>
        <c:marker>
          <c:symbol val="none"/>
        </c:marker>
      </c:pivotFmt>
      <c:pivotFmt>
        <c:idx val="719"/>
        <c:spPr>
          <a:solidFill>
            <a:schemeClr val="accent1"/>
          </a:solidFill>
          <a:ln>
            <a:noFill/>
          </a:ln>
          <a:effectLst/>
          <a:sp3d/>
        </c:spPr>
        <c:marker>
          <c:symbol val="none"/>
        </c:marker>
      </c:pivotFmt>
      <c:pivotFmt>
        <c:idx val="720"/>
        <c:spPr>
          <a:solidFill>
            <a:schemeClr val="accent1"/>
          </a:solidFill>
          <a:ln>
            <a:noFill/>
          </a:ln>
          <a:effectLst/>
          <a:sp3d/>
        </c:spPr>
        <c:marker>
          <c:symbol val="none"/>
        </c:marker>
      </c:pivotFmt>
      <c:pivotFmt>
        <c:idx val="721"/>
        <c:spPr>
          <a:solidFill>
            <a:schemeClr val="accent1"/>
          </a:solidFill>
          <a:ln>
            <a:noFill/>
          </a:ln>
          <a:effectLst/>
          <a:sp3d/>
        </c:spPr>
        <c:marker>
          <c:symbol val="none"/>
        </c:marker>
      </c:pivotFmt>
      <c:pivotFmt>
        <c:idx val="722"/>
        <c:spPr>
          <a:solidFill>
            <a:schemeClr val="accent1"/>
          </a:solidFill>
          <a:ln>
            <a:noFill/>
          </a:ln>
          <a:effectLst/>
          <a:sp3d/>
        </c:spPr>
        <c:marker>
          <c:symbol val="none"/>
        </c:marker>
      </c:pivotFmt>
      <c:pivotFmt>
        <c:idx val="723"/>
        <c:spPr>
          <a:solidFill>
            <a:schemeClr val="accent1"/>
          </a:solidFill>
          <a:ln>
            <a:noFill/>
          </a:ln>
          <a:effectLst/>
          <a:sp3d/>
        </c:spPr>
        <c:marker>
          <c:symbol val="none"/>
        </c:marker>
      </c:pivotFmt>
      <c:pivotFmt>
        <c:idx val="724"/>
        <c:spPr>
          <a:solidFill>
            <a:schemeClr val="accent1"/>
          </a:solidFill>
          <a:ln>
            <a:noFill/>
          </a:ln>
          <a:effectLst/>
          <a:sp3d/>
        </c:spPr>
        <c:marker>
          <c:symbol val="none"/>
        </c:marker>
      </c:pivotFmt>
      <c:pivotFmt>
        <c:idx val="725"/>
        <c:spPr>
          <a:solidFill>
            <a:schemeClr val="accent1"/>
          </a:solidFill>
          <a:ln>
            <a:noFill/>
          </a:ln>
          <a:effectLst/>
          <a:sp3d/>
        </c:spPr>
        <c:marker>
          <c:symbol val="none"/>
        </c:marker>
      </c:pivotFmt>
      <c:pivotFmt>
        <c:idx val="726"/>
        <c:spPr>
          <a:solidFill>
            <a:schemeClr val="accent1"/>
          </a:solidFill>
          <a:ln>
            <a:noFill/>
          </a:ln>
          <a:effectLst/>
          <a:sp3d/>
        </c:spPr>
        <c:marker>
          <c:symbol val="none"/>
        </c:marker>
      </c:pivotFmt>
      <c:pivotFmt>
        <c:idx val="727"/>
        <c:spPr>
          <a:solidFill>
            <a:schemeClr val="accent1"/>
          </a:solidFill>
          <a:ln>
            <a:noFill/>
          </a:ln>
          <a:effectLst/>
          <a:sp3d/>
        </c:spPr>
        <c:marker>
          <c:symbol val="none"/>
        </c:marker>
      </c:pivotFmt>
      <c:pivotFmt>
        <c:idx val="728"/>
        <c:spPr>
          <a:solidFill>
            <a:schemeClr val="accent1"/>
          </a:solidFill>
          <a:ln>
            <a:noFill/>
          </a:ln>
          <a:effectLst/>
          <a:sp3d/>
        </c:spPr>
        <c:marker>
          <c:symbol val="none"/>
        </c:marker>
      </c:pivotFmt>
      <c:pivotFmt>
        <c:idx val="729"/>
        <c:spPr>
          <a:solidFill>
            <a:schemeClr val="accent1"/>
          </a:solidFill>
          <a:ln>
            <a:noFill/>
          </a:ln>
          <a:effectLst/>
          <a:sp3d/>
        </c:spPr>
        <c:marker>
          <c:symbol val="none"/>
        </c:marker>
      </c:pivotFmt>
      <c:pivotFmt>
        <c:idx val="730"/>
        <c:spPr>
          <a:solidFill>
            <a:schemeClr val="accent1"/>
          </a:solidFill>
          <a:ln>
            <a:noFill/>
          </a:ln>
          <a:effectLst/>
          <a:sp3d/>
        </c:spPr>
        <c:marker>
          <c:symbol val="none"/>
        </c:marker>
      </c:pivotFmt>
      <c:pivotFmt>
        <c:idx val="731"/>
        <c:spPr>
          <a:solidFill>
            <a:schemeClr val="accent1"/>
          </a:solidFill>
          <a:ln>
            <a:noFill/>
          </a:ln>
          <a:effectLst/>
          <a:sp3d/>
        </c:spPr>
        <c:marker>
          <c:symbol val="none"/>
        </c:marker>
      </c:pivotFmt>
      <c:pivotFmt>
        <c:idx val="732"/>
        <c:spPr>
          <a:solidFill>
            <a:schemeClr val="accent1"/>
          </a:solidFill>
          <a:ln>
            <a:noFill/>
          </a:ln>
          <a:effectLst/>
          <a:sp3d/>
        </c:spPr>
        <c:marker>
          <c:symbol val="none"/>
        </c:marker>
      </c:pivotFmt>
      <c:pivotFmt>
        <c:idx val="733"/>
        <c:spPr>
          <a:solidFill>
            <a:schemeClr val="accent1"/>
          </a:solidFill>
          <a:ln>
            <a:noFill/>
          </a:ln>
          <a:effectLst/>
          <a:sp3d/>
        </c:spPr>
        <c:marker>
          <c:symbol val="none"/>
        </c:marker>
      </c:pivotFmt>
      <c:pivotFmt>
        <c:idx val="734"/>
        <c:spPr>
          <a:solidFill>
            <a:schemeClr val="accent1"/>
          </a:solidFill>
          <a:ln>
            <a:noFill/>
          </a:ln>
          <a:effectLst/>
          <a:sp3d/>
        </c:spPr>
        <c:marker>
          <c:symbol val="none"/>
        </c:marker>
      </c:pivotFmt>
      <c:pivotFmt>
        <c:idx val="735"/>
        <c:spPr>
          <a:solidFill>
            <a:schemeClr val="accent1"/>
          </a:solidFill>
          <a:ln>
            <a:noFill/>
          </a:ln>
          <a:effectLst/>
          <a:sp3d/>
        </c:spPr>
        <c:marker>
          <c:symbol val="none"/>
        </c:marker>
      </c:pivotFmt>
      <c:pivotFmt>
        <c:idx val="736"/>
        <c:spPr>
          <a:solidFill>
            <a:schemeClr val="accent1"/>
          </a:solidFill>
          <a:ln>
            <a:noFill/>
          </a:ln>
          <a:effectLst/>
          <a:sp3d/>
        </c:spPr>
        <c:marker>
          <c:symbol val="none"/>
        </c:marker>
      </c:pivotFmt>
      <c:pivotFmt>
        <c:idx val="737"/>
        <c:spPr>
          <a:solidFill>
            <a:schemeClr val="accent1"/>
          </a:solidFill>
          <a:ln>
            <a:noFill/>
          </a:ln>
          <a:effectLst/>
          <a:sp3d/>
        </c:spPr>
        <c:marker>
          <c:symbol val="none"/>
        </c:marker>
      </c:pivotFmt>
      <c:pivotFmt>
        <c:idx val="738"/>
        <c:spPr>
          <a:solidFill>
            <a:schemeClr val="accent1"/>
          </a:solidFill>
          <a:ln>
            <a:noFill/>
          </a:ln>
          <a:effectLst/>
          <a:sp3d/>
        </c:spPr>
        <c:marker>
          <c:symbol val="none"/>
        </c:marker>
      </c:pivotFmt>
      <c:pivotFmt>
        <c:idx val="739"/>
        <c:spPr>
          <a:solidFill>
            <a:schemeClr val="accent1"/>
          </a:solidFill>
          <a:ln>
            <a:noFill/>
          </a:ln>
          <a:effectLst/>
          <a:sp3d/>
        </c:spPr>
        <c:marker>
          <c:symbol val="none"/>
        </c:marker>
      </c:pivotFmt>
      <c:pivotFmt>
        <c:idx val="740"/>
        <c:spPr>
          <a:solidFill>
            <a:schemeClr val="accent1"/>
          </a:solidFill>
          <a:ln>
            <a:noFill/>
          </a:ln>
          <a:effectLst/>
          <a:sp3d/>
        </c:spPr>
        <c:marker>
          <c:symbol val="none"/>
        </c:marker>
      </c:pivotFmt>
      <c:pivotFmt>
        <c:idx val="741"/>
        <c:spPr>
          <a:solidFill>
            <a:schemeClr val="accent1"/>
          </a:solidFill>
          <a:ln>
            <a:noFill/>
          </a:ln>
          <a:effectLst/>
          <a:sp3d/>
        </c:spPr>
        <c:marker>
          <c:symbol val="none"/>
        </c:marker>
      </c:pivotFmt>
      <c:pivotFmt>
        <c:idx val="742"/>
        <c:spPr>
          <a:solidFill>
            <a:schemeClr val="accent1"/>
          </a:solidFill>
          <a:ln>
            <a:noFill/>
          </a:ln>
          <a:effectLst/>
          <a:sp3d/>
        </c:spPr>
        <c:marker>
          <c:symbol val="none"/>
        </c:marker>
      </c:pivotFmt>
      <c:pivotFmt>
        <c:idx val="743"/>
        <c:spPr>
          <a:solidFill>
            <a:schemeClr val="accent1"/>
          </a:solidFill>
          <a:ln>
            <a:noFill/>
          </a:ln>
          <a:effectLst/>
          <a:sp3d/>
        </c:spPr>
        <c:marker>
          <c:symbol val="none"/>
        </c:marker>
      </c:pivotFmt>
      <c:pivotFmt>
        <c:idx val="744"/>
        <c:spPr>
          <a:solidFill>
            <a:schemeClr val="accent1"/>
          </a:solidFill>
          <a:ln>
            <a:noFill/>
          </a:ln>
          <a:effectLst/>
          <a:sp3d/>
        </c:spPr>
        <c:marker>
          <c:symbol val="none"/>
        </c:marker>
      </c:pivotFmt>
      <c:pivotFmt>
        <c:idx val="745"/>
        <c:spPr>
          <a:solidFill>
            <a:schemeClr val="accent1"/>
          </a:solidFill>
          <a:ln>
            <a:noFill/>
          </a:ln>
          <a:effectLst/>
          <a:sp3d/>
        </c:spPr>
        <c:marker>
          <c:symbol val="none"/>
        </c:marker>
      </c:pivotFmt>
      <c:pivotFmt>
        <c:idx val="746"/>
        <c:spPr>
          <a:solidFill>
            <a:schemeClr val="accent1"/>
          </a:solidFill>
          <a:ln>
            <a:noFill/>
          </a:ln>
          <a:effectLst/>
          <a:sp3d/>
        </c:spPr>
        <c:marker>
          <c:symbol val="none"/>
        </c:marker>
      </c:pivotFmt>
      <c:pivotFmt>
        <c:idx val="747"/>
        <c:spPr>
          <a:solidFill>
            <a:schemeClr val="accent1"/>
          </a:solidFill>
          <a:ln>
            <a:noFill/>
          </a:ln>
          <a:effectLst/>
          <a:sp3d/>
        </c:spPr>
        <c:marker>
          <c:symbol val="none"/>
        </c:marker>
      </c:pivotFmt>
      <c:pivotFmt>
        <c:idx val="748"/>
        <c:spPr>
          <a:solidFill>
            <a:schemeClr val="accent1"/>
          </a:solidFill>
          <a:ln>
            <a:noFill/>
          </a:ln>
          <a:effectLst/>
          <a:sp3d/>
        </c:spPr>
        <c:marker>
          <c:symbol val="none"/>
        </c:marker>
      </c:pivotFmt>
      <c:pivotFmt>
        <c:idx val="749"/>
        <c:spPr>
          <a:solidFill>
            <a:schemeClr val="accent1"/>
          </a:solidFill>
          <a:ln>
            <a:noFill/>
          </a:ln>
          <a:effectLst/>
          <a:sp3d/>
        </c:spPr>
        <c:marker>
          <c:symbol val="none"/>
        </c:marker>
      </c:pivotFmt>
      <c:pivotFmt>
        <c:idx val="750"/>
        <c:spPr>
          <a:solidFill>
            <a:schemeClr val="accent1"/>
          </a:solidFill>
          <a:ln>
            <a:noFill/>
          </a:ln>
          <a:effectLst/>
          <a:sp3d/>
        </c:spPr>
        <c:marker>
          <c:symbol val="none"/>
        </c:marker>
      </c:pivotFmt>
      <c:pivotFmt>
        <c:idx val="751"/>
        <c:spPr>
          <a:solidFill>
            <a:schemeClr val="accent1"/>
          </a:solidFill>
          <a:ln>
            <a:noFill/>
          </a:ln>
          <a:effectLst/>
          <a:sp3d/>
        </c:spPr>
        <c:marker>
          <c:symbol val="none"/>
        </c:marker>
      </c:pivotFmt>
      <c:pivotFmt>
        <c:idx val="752"/>
        <c:spPr>
          <a:solidFill>
            <a:schemeClr val="accent1"/>
          </a:solidFill>
          <a:ln>
            <a:noFill/>
          </a:ln>
          <a:effectLst/>
          <a:sp3d/>
        </c:spPr>
        <c:marker>
          <c:symbol val="none"/>
        </c:marker>
      </c:pivotFmt>
      <c:pivotFmt>
        <c:idx val="753"/>
        <c:spPr>
          <a:solidFill>
            <a:schemeClr val="accent1"/>
          </a:solidFill>
          <a:ln>
            <a:noFill/>
          </a:ln>
          <a:effectLst/>
          <a:sp3d/>
        </c:spPr>
        <c:marker>
          <c:symbol val="none"/>
        </c:marker>
      </c:pivotFmt>
      <c:pivotFmt>
        <c:idx val="754"/>
        <c:spPr>
          <a:solidFill>
            <a:schemeClr val="accent1"/>
          </a:solidFill>
          <a:ln>
            <a:noFill/>
          </a:ln>
          <a:effectLst/>
          <a:sp3d/>
        </c:spPr>
        <c:marker>
          <c:symbol val="none"/>
        </c:marker>
      </c:pivotFmt>
      <c:pivotFmt>
        <c:idx val="755"/>
        <c:spPr>
          <a:solidFill>
            <a:schemeClr val="accent1"/>
          </a:solidFill>
          <a:ln>
            <a:noFill/>
          </a:ln>
          <a:effectLst/>
          <a:sp3d/>
        </c:spPr>
        <c:marker>
          <c:symbol val="none"/>
        </c:marker>
      </c:pivotFmt>
      <c:pivotFmt>
        <c:idx val="756"/>
        <c:spPr>
          <a:solidFill>
            <a:schemeClr val="accent1"/>
          </a:solidFill>
          <a:ln>
            <a:noFill/>
          </a:ln>
          <a:effectLst/>
          <a:sp3d/>
        </c:spPr>
        <c:marker>
          <c:symbol val="none"/>
        </c:marker>
      </c:pivotFmt>
      <c:pivotFmt>
        <c:idx val="757"/>
        <c:spPr>
          <a:solidFill>
            <a:schemeClr val="accent1"/>
          </a:solidFill>
          <a:ln>
            <a:noFill/>
          </a:ln>
          <a:effectLst/>
          <a:sp3d/>
        </c:spPr>
        <c:marker>
          <c:symbol val="none"/>
        </c:marker>
      </c:pivotFmt>
      <c:pivotFmt>
        <c:idx val="758"/>
        <c:spPr>
          <a:solidFill>
            <a:schemeClr val="accent1"/>
          </a:solidFill>
          <a:ln>
            <a:noFill/>
          </a:ln>
          <a:effectLst/>
          <a:sp3d/>
        </c:spPr>
        <c:marker>
          <c:symbol val="none"/>
        </c:marker>
      </c:pivotFmt>
      <c:pivotFmt>
        <c:idx val="759"/>
        <c:spPr>
          <a:solidFill>
            <a:schemeClr val="accent1"/>
          </a:solidFill>
          <a:ln>
            <a:noFill/>
          </a:ln>
          <a:effectLst/>
          <a:sp3d/>
        </c:spPr>
        <c:marker>
          <c:symbol val="none"/>
        </c:marker>
      </c:pivotFmt>
      <c:pivotFmt>
        <c:idx val="760"/>
        <c:spPr>
          <a:solidFill>
            <a:schemeClr val="accent1"/>
          </a:solidFill>
          <a:ln>
            <a:noFill/>
          </a:ln>
          <a:effectLst/>
          <a:sp3d/>
        </c:spPr>
        <c:marker>
          <c:symbol val="none"/>
        </c:marker>
      </c:pivotFmt>
      <c:pivotFmt>
        <c:idx val="761"/>
        <c:spPr>
          <a:solidFill>
            <a:schemeClr val="accent1"/>
          </a:solidFill>
          <a:ln>
            <a:noFill/>
          </a:ln>
          <a:effectLst/>
          <a:sp3d/>
        </c:spPr>
        <c:marker>
          <c:symbol val="none"/>
        </c:marker>
      </c:pivotFmt>
      <c:pivotFmt>
        <c:idx val="762"/>
        <c:spPr>
          <a:solidFill>
            <a:schemeClr val="accent1"/>
          </a:solidFill>
          <a:ln>
            <a:noFill/>
          </a:ln>
          <a:effectLst/>
          <a:sp3d/>
        </c:spPr>
        <c:marker>
          <c:symbol val="none"/>
        </c:marker>
      </c:pivotFmt>
      <c:pivotFmt>
        <c:idx val="763"/>
        <c:spPr>
          <a:solidFill>
            <a:schemeClr val="accent1"/>
          </a:solidFill>
          <a:ln>
            <a:noFill/>
          </a:ln>
          <a:effectLst/>
          <a:sp3d/>
        </c:spPr>
        <c:marker>
          <c:symbol val="none"/>
        </c:marker>
      </c:pivotFmt>
      <c:pivotFmt>
        <c:idx val="764"/>
        <c:spPr>
          <a:solidFill>
            <a:schemeClr val="accent1"/>
          </a:solidFill>
          <a:ln>
            <a:noFill/>
          </a:ln>
          <a:effectLst/>
          <a:sp3d/>
        </c:spPr>
        <c:marker>
          <c:symbol val="none"/>
        </c:marker>
      </c:pivotFmt>
      <c:pivotFmt>
        <c:idx val="765"/>
        <c:spPr>
          <a:solidFill>
            <a:schemeClr val="accent1"/>
          </a:solidFill>
          <a:ln>
            <a:noFill/>
          </a:ln>
          <a:effectLst/>
          <a:sp3d/>
        </c:spPr>
        <c:marker>
          <c:symbol val="none"/>
        </c:marker>
      </c:pivotFmt>
      <c:pivotFmt>
        <c:idx val="766"/>
        <c:spPr>
          <a:solidFill>
            <a:schemeClr val="accent1"/>
          </a:solidFill>
          <a:ln>
            <a:noFill/>
          </a:ln>
          <a:effectLst/>
          <a:sp3d/>
        </c:spPr>
        <c:marker>
          <c:symbol val="none"/>
        </c:marker>
      </c:pivotFmt>
      <c:pivotFmt>
        <c:idx val="767"/>
        <c:spPr>
          <a:solidFill>
            <a:schemeClr val="accent1"/>
          </a:solidFill>
          <a:ln>
            <a:noFill/>
          </a:ln>
          <a:effectLst/>
          <a:sp3d/>
        </c:spPr>
        <c:marker>
          <c:symbol val="none"/>
        </c:marker>
      </c:pivotFmt>
      <c:pivotFmt>
        <c:idx val="768"/>
        <c:spPr>
          <a:solidFill>
            <a:schemeClr val="accent1"/>
          </a:solidFill>
          <a:ln>
            <a:noFill/>
          </a:ln>
          <a:effectLst/>
          <a:sp3d/>
        </c:spPr>
        <c:marker>
          <c:symbol val="none"/>
        </c:marker>
      </c:pivotFmt>
      <c:pivotFmt>
        <c:idx val="769"/>
        <c:spPr>
          <a:solidFill>
            <a:schemeClr val="accent1"/>
          </a:solidFill>
          <a:ln>
            <a:noFill/>
          </a:ln>
          <a:effectLst/>
          <a:sp3d/>
        </c:spPr>
        <c:marker>
          <c:symbol val="none"/>
        </c:marker>
      </c:pivotFmt>
      <c:pivotFmt>
        <c:idx val="770"/>
        <c:spPr>
          <a:solidFill>
            <a:schemeClr val="accent1"/>
          </a:solidFill>
          <a:ln>
            <a:noFill/>
          </a:ln>
          <a:effectLst/>
          <a:sp3d/>
        </c:spPr>
        <c:marker>
          <c:symbol val="none"/>
        </c:marker>
      </c:pivotFmt>
      <c:pivotFmt>
        <c:idx val="771"/>
        <c:spPr>
          <a:solidFill>
            <a:schemeClr val="accent1"/>
          </a:solidFill>
          <a:ln>
            <a:noFill/>
          </a:ln>
          <a:effectLst/>
          <a:sp3d/>
        </c:spPr>
        <c:marker>
          <c:symbol val="none"/>
        </c:marker>
      </c:pivotFmt>
      <c:pivotFmt>
        <c:idx val="772"/>
        <c:spPr>
          <a:solidFill>
            <a:schemeClr val="accent1"/>
          </a:solidFill>
          <a:ln>
            <a:noFill/>
          </a:ln>
          <a:effectLst/>
          <a:sp3d/>
        </c:spPr>
        <c:marker>
          <c:symbol val="none"/>
        </c:marker>
      </c:pivotFmt>
      <c:pivotFmt>
        <c:idx val="773"/>
        <c:spPr>
          <a:solidFill>
            <a:schemeClr val="accent1"/>
          </a:solidFill>
          <a:ln>
            <a:noFill/>
          </a:ln>
          <a:effectLst/>
          <a:sp3d/>
        </c:spPr>
        <c:marker>
          <c:symbol val="none"/>
        </c:marker>
      </c:pivotFmt>
      <c:pivotFmt>
        <c:idx val="774"/>
        <c:spPr>
          <a:solidFill>
            <a:schemeClr val="accent1"/>
          </a:solidFill>
          <a:ln>
            <a:noFill/>
          </a:ln>
          <a:effectLst/>
          <a:sp3d/>
        </c:spPr>
        <c:marker>
          <c:symbol val="none"/>
        </c:marker>
      </c:pivotFmt>
      <c:pivotFmt>
        <c:idx val="775"/>
        <c:spPr>
          <a:solidFill>
            <a:schemeClr val="accent1"/>
          </a:solidFill>
          <a:ln>
            <a:noFill/>
          </a:ln>
          <a:effectLst/>
          <a:sp3d/>
        </c:spPr>
        <c:marker>
          <c:symbol val="none"/>
        </c:marker>
      </c:pivotFmt>
      <c:pivotFmt>
        <c:idx val="776"/>
        <c:spPr>
          <a:solidFill>
            <a:schemeClr val="accent1"/>
          </a:solidFill>
          <a:ln>
            <a:noFill/>
          </a:ln>
          <a:effectLst/>
          <a:sp3d/>
        </c:spPr>
        <c:marker>
          <c:symbol val="none"/>
        </c:marker>
      </c:pivotFmt>
      <c:pivotFmt>
        <c:idx val="777"/>
        <c:spPr>
          <a:solidFill>
            <a:schemeClr val="accent1"/>
          </a:solidFill>
          <a:ln>
            <a:noFill/>
          </a:ln>
          <a:effectLst/>
          <a:sp3d/>
        </c:spPr>
        <c:marker>
          <c:symbol val="none"/>
        </c:marker>
      </c:pivotFmt>
      <c:pivotFmt>
        <c:idx val="778"/>
        <c:spPr>
          <a:solidFill>
            <a:schemeClr val="accent1"/>
          </a:solidFill>
          <a:ln>
            <a:noFill/>
          </a:ln>
          <a:effectLst/>
          <a:sp3d/>
        </c:spPr>
        <c:marker>
          <c:symbol val="none"/>
        </c:marker>
      </c:pivotFmt>
      <c:pivotFmt>
        <c:idx val="779"/>
        <c:spPr>
          <a:solidFill>
            <a:schemeClr val="accent1"/>
          </a:solidFill>
          <a:ln>
            <a:noFill/>
          </a:ln>
          <a:effectLst/>
          <a:sp3d/>
        </c:spPr>
        <c:marker>
          <c:symbol val="none"/>
        </c:marker>
      </c:pivotFmt>
      <c:pivotFmt>
        <c:idx val="780"/>
        <c:spPr>
          <a:solidFill>
            <a:schemeClr val="accent1"/>
          </a:solidFill>
          <a:ln>
            <a:noFill/>
          </a:ln>
          <a:effectLst/>
          <a:sp3d/>
        </c:spPr>
        <c:marker>
          <c:symbol val="none"/>
        </c:marker>
      </c:pivotFmt>
      <c:pivotFmt>
        <c:idx val="781"/>
        <c:spPr>
          <a:solidFill>
            <a:schemeClr val="accent1"/>
          </a:solidFill>
          <a:ln>
            <a:noFill/>
          </a:ln>
          <a:effectLst/>
          <a:sp3d/>
        </c:spPr>
        <c:marker>
          <c:symbol val="none"/>
        </c:marker>
      </c:pivotFmt>
      <c:pivotFmt>
        <c:idx val="782"/>
        <c:spPr>
          <a:solidFill>
            <a:schemeClr val="accent1"/>
          </a:solidFill>
          <a:ln>
            <a:noFill/>
          </a:ln>
          <a:effectLst/>
          <a:sp3d/>
        </c:spPr>
        <c:marker>
          <c:symbol val="none"/>
        </c:marker>
      </c:pivotFmt>
      <c:pivotFmt>
        <c:idx val="783"/>
        <c:spPr>
          <a:solidFill>
            <a:schemeClr val="accent1"/>
          </a:solidFill>
          <a:ln>
            <a:noFill/>
          </a:ln>
          <a:effectLst/>
          <a:sp3d/>
        </c:spPr>
        <c:marker>
          <c:symbol val="none"/>
        </c:marker>
      </c:pivotFmt>
      <c:pivotFmt>
        <c:idx val="784"/>
        <c:spPr>
          <a:solidFill>
            <a:schemeClr val="accent1"/>
          </a:solidFill>
          <a:ln>
            <a:noFill/>
          </a:ln>
          <a:effectLst/>
          <a:sp3d/>
        </c:spPr>
        <c:marker>
          <c:symbol val="none"/>
        </c:marker>
      </c:pivotFmt>
      <c:pivotFmt>
        <c:idx val="785"/>
        <c:spPr>
          <a:solidFill>
            <a:schemeClr val="accent1"/>
          </a:solidFill>
          <a:ln>
            <a:noFill/>
          </a:ln>
          <a:effectLst/>
          <a:sp3d/>
        </c:spPr>
        <c:marker>
          <c:symbol val="none"/>
        </c:marker>
      </c:pivotFmt>
      <c:pivotFmt>
        <c:idx val="786"/>
        <c:spPr>
          <a:solidFill>
            <a:schemeClr val="accent1"/>
          </a:solidFill>
          <a:ln>
            <a:noFill/>
          </a:ln>
          <a:effectLst/>
          <a:sp3d/>
        </c:spPr>
        <c:marker>
          <c:symbol val="none"/>
        </c:marker>
      </c:pivotFmt>
      <c:pivotFmt>
        <c:idx val="787"/>
        <c:spPr>
          <a:solidFill>
            <a:schemeClr val="accent1"/>
          </a:solidFill>
          <a:ln>
            <a:noFill/>
          </a:ln>
          <a:effectLst/>
          <a:sp3d/>
        </c:spPr>
        <c:marker>
          <c:symbol val="none"/>
        </c:marker>
      </c:pivotFmt>
      <c:pivotFmt>
        <c:idx val="788"/>
        <c:spPr>
          <a:solidFill>
            <a:schemeClr val="accent1"/>
          </a:solidFill>
          <a:ln>
            <a:noFill/>
          </a:ln>
          <a:effectLst/>
          <a:sp3d/>
        </c:spPr>
        <c:marker>
          <c:symbol val="none"/>
        </c:marker>
      </c:pivotFmt>
      <c:pivotFmt>
        <c:idx val="789"/>
        <c:spPr>
          <a:solidFill>
            <a:schemeClr val="accent1"/>
          </a:solidFill>
          <a:ln>
            <a:noFill/>
          </a:ln>
          <a:effectLst/>
          <a:sp3d/>
        </c:spPr>
        <c:marker>
          <c:symbol val="none"/>
        </c:marker>
      </c:pivotFmt>
      <c:pivotFmt>
        <c:idx val="790"/>
        <c:spPr>
          <a:solidFill>
            <a:schemeClr val="accent1"/>
          </a:solidFill>
          <a:ln>
            <a:noFill/>
          </a:ln>
          <a:effectLst/>
          <a:sp3d/>
        </c:spPr>
        <c:marker>
          <c:symbol val="none"/>
        </c:marker>
      </c:pivotFmt>
      <c:pivotFmt>
        <c:idx val="791"/>
        <c:spPr>
          <a:solidFill>
            <a:schemeClr val="accent1"/>
          </a:solidFill>
          <a:ln>
            <a:noFill/>
          </a:ln>
          <a:effectLst/>
          <a:sp3d/>
        </c:spPr>
        <c:marker>
          <c:symbol val="none"/>
        </c:marker>
      </c:pivotFmt>
      <c:pivotFmt>
        <c:idx val="792"/>
        <c:spPr>
          <a:solidFill>
            <a:schemeClr val="accent1"/>
          </a:solidFill>
          <a:ln>
            <a:noFill/>
          </a:ln>
          <a:effectLst/>
          <a:sp3d/>
        </c:spPr>
        <c:marker>
          <c:symbol val="none"/>
        </c:marker>
      </c:pivotFmt>
      <c:pivotFmt>
        <c:idx val="793"/>
        <c:spPr>
          <a:solidFill>
            <a:schemeClr val="accent1"/>
          </a:solidFill>
          <a:ln>
            <a:noFill/>
          </a:ln>
          <a:effectLst/>
          <a:sp3d/>
        </c:spPr>
        <c:marker>
          <c:symbol val="none"/>
        </c:marker>
      </c:pivotFmt>
      <c:pivotFmt>
        <c:idx val="794"/>
        <c:spPr>
          <a:solidFill>
            <a:schemeClr val="accent1"/>
          </a:solidFill>
          <a:ln>
            <a:noFill/>
          </a:ln>
          <a:effectLst/>
          <a:sp3d/>
        </c:spPr>
        <c:marker>
          <c:symbol val="none"/>
        </c:marker>
      </c:pivotFmt>
      <c:pivotFmt>
        <c:idx val="795"/>
        <c:spPr>
          <a:solidFill>
            <a:schemeClr val="accent1"/>
          </a:solidFill>
          <a:ln>
            <a:noFill/>
          </a:ln>
          <a:effectLst/>
          <a:sp3d/>
        </c:spPr>
        <c:marker>
          <c:symbol val="none"/>
        </c:marker>
      </c:pivotFmt>
      <c:pivotFmt>
        <c:idx val="796"/>
        <c:spPr>
          <a:solidFill>
            <a:schemeClr val="accent1"/>
          </a:solidFill>
          <a:ln>
            <a:noFill/>
          </a:ln>
          <a:effectLst/>
          <a:sp3d/>
        </c:spPr>
        <c:marker>
          <c:symbol val="none"/>
        </c:marker>
      </c:pivotFmt>
      <c:pivotFmt>
        <c:idx val="797"/>
        <c:spPr>
          <a:solidFill>
            <a:schemeClr val="accent1"/>
          </a:solidFill>
          <a:ln>
            <a:noFill/>
          </a:ln>
          <a:effectLst/>
          <a:sp3d/>
        </c:spPr>
        <c:marker>
          <c:symbol val="none"/>
        </c:marker>
      </c:pivotFmt>
      <c:pivotFmt>
        <c:idx val="798"/>
        <c:spPr>
          <a:solidFill>
            <a:schemeClr val="accent1"/>
          </a:solidFill>
          <a:ln>
            <a:noFill/>
          </a:ln>
          <a:effectLst/>
          <a:sp3d/>
        </c:spPr>
        <c:marker>
          <c:symbol val="none"/>
        </c:marker>
      </c:pivotFmt>
      <c:pivotFmt>
        <c:idx val="799"/>
        <c:spPr>
          <a:solidFill>
            <a:schemeClr val="accent1"/>
          </a:solidFill>
          <a:ln>
            <a:noFill/>
          </a:ln>
          <a:effectLst/>
          <a:sp3d/>
        </c:spPr>
        <c:marker>
          <c:symbol val="none"/>
        </c:marker>
      </c:pivotFmt>
      <c:pivotFmt>
        <c:idx val="80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6"/>
        <c:spPr>
          <a:solidFill>
            <a:schemeClr val="accent1"/>
          </a:solidFill>
          <a:ln w="28575" cap="rnd">
            <a:solidFill>
              <a:schemeClr val="accent1"/>
            </a:solidFill>
            <a:round/>
          </a:ln>
          <a:effectLst/>
        </c:spPr>
        <c:marker>
          <c:symbol val="none"/>
        </c:marker>
      </c:pivotFmt>
      <c:pivotFmt>
        <c:idx val="1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8"/>
        <c:spPr>
          <a:solidFill>
            <a:schemeClr val="accent1"/>
          </a:solidFill>
          <a:ln w="28575" cap="rnd">
            <a:solidFill>
              <a:schemeClr val="accent1"/>
            </a:solidFill>
            <a:round/>
          </a:ln>
          <a:effectLst/>
        </c:spPr>
        <c:marker>
          <c:symbol val="none"/>
        </c:marker>
      </c:pivotFmt>
      <c:pivotFmt>
        <c:idx val="1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0"/>
        <c:spPr>
          <a:solidFill>
            <a:schemeClr val="accent1"/>
          </a:solidFill>
          <a:ln w="28575" cap="rnd">
            <a:solidFill>
              <a:schemeClr val="accent1"/>
            </a:solidFill>
            <a:round/>
          </a:ln>
          <a:effectLst/>
        </c:spPr>
        <c:marker>
          <c:symbol val="none"/>
        </c:marker>
      </c:pivotFmt>
      <c:pivotFmt>
        <c:idx val="1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2"/>
        <c:spPr>
          <a:solidFill>
            <a:schemeClr val="accent1"/>
          </a:solidFill>
          <a:ln w="28575" cap="rnd">
            <a:solidFill>
              <a:schemeClr val="accent1"/>
            </a:solidFill>
            <a:round/>
          </a:ln>
          <a:effectLst/>
        </c:spPr>
        <c:marker>
          <c:symbol val="none"/>
        </c:marker>
      </c:pivotFmt>
      <c:pivotFmt>
        <c:idx val="1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4"/>
        <c:spPr>
          <a:solidFill>
            <a:schemeClr val="accent1"/>
          </a:solidFill>
          <a:ln w="28575" cap="rnd">
            <a:solidFill>
              <a:schemeClr val="accent1"/>
            </a:solidFill>
            <a:round/>
          </a:ln>
          <a:effectLst/>
        </c:spPr>
        <c:marker>
          <c:symbol val="none"/>
        </c:marker>
      </c:pivotFmt>
      <c:pivotFmt>
        <c:idx val="1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4"/>
        <c:spPr>
          <a:solidFill>
            <a:schemeClr val="accent1"/>
          </a:solidFill>
          <a:ln w="28575" cap="rnd">
            <a:solidFill>
              <a:schemeClr val="accent1"/>
            </a:solidFill>
            <a:round/>
          </a:ln>
          <a:effectLst/>
        </c:spPr>
        <c:marker>
          <c:symbol val="none"/>
        </c:marker>
      </c:pivotFmt>
      <c:pivotFmt>
        <c:idx val="1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9"/>
        <c:spPr>
          <a:solidFill>
            <a:schemeClr val="accent1"/>
          </a:solidFill>
          <a:ln w="28575" cap="rnd">
            <a:solidFill>
              <a:schemeClr val="accent1"/>
            </a:solidFill>
            <a:round/>
          </a:ln>
          <a:effectLst/>
        </c:spPr>
        <c:marker>
          <c:symbol val="none"/>
        </c:marker>
      </c:pivotFmt>
      <c:pivotFmt>
        <c:idx val="1360"/>
        <c:spPr>
          <a:solidFill>
            <a:schemeClr val="accent1"/>
          </a:solidFill>
          <a:ln w="28575" cap="rnd">
            <a:solidFill>
              <a:schemeClr val="accent1"/>
            </a:solidFill>
            <a:round/>
          </a:ln>
          <a:effectLst/>
        </c:spPr>
        <c:marker>
          <c:symbol val="none"/>
        </c:marker>
      </c:pivotFmt>
      <c:pivotFmt>
        <c:idx val="1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3"/>
        <c:spPr>
          <a:solidFill>
            <a:schemeClr val="accent1"/>
          </a:solidFill>
          <a:ln w="28575" cap="rnd">
            <a:solidFill>
              <a:schemeClr val="accent1"/>
            </a:solidFill>
            <a:round/>
          </a:ln>
          <a:effectLst/>
        </c:spPr>
        <c:marker>
          <c:symbol val="none"/>
        </c:marker>
      </c:pivotFmt>
      <c:pivotFmt>
        <c:idx val="1364"/>
        <c:spPr>
          <a:solidFill>
            <a:schemeClr val="accent1"/>
          </a:solidFill>
          <a:ln w="28575" cap="rnd">
            <a:solidFill>
              <a:schemeClr val="accent1"/>
            </a:solidFill>
            <a:round/>
          </a:ln>
          <a:effectLst/>
        </c:spPr>
        <c:marker>
          <c:symbol val="none"/>
        </c:marker>
      </c:pivotFmt>
      <c:pivotFmt>
        <c:idx val="1365"/>
        <c:spPr>
          <a:solidFill>
            <a:schemeClr val="accent1"/>
          </a:solidFill>
          <a:ln w="28575" cap="rnd">
            <a:solidFill>
              <a:schemeClr val="accent1"/>
            </a:solidFill>
            <a:round/>
          </a:ln>
          <a:effectLst/>
        </c:spPr>
        <c:marker>
          <c:symbol val="none"/>
        </c:marker>
      </c:pivotFmt>
      <c:pivotFmt>
        <c:idx val="1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0"/>
        <c:spPr>
          <a:solidFill>
            <a:schemeClr val="accent1"/>
          </a:solidFill>
          <a:ln w="28575" cap="rnd">
            <a:solidFill>
              <a:schemeClr val="accent1"/>
            </a:solidFill>
            <a:round/>
          </a:ln>
          <a:effectLst/>
        </c:spPr>
        <c:marker>
          <c:symbol val="none"/>
        </c:marker>
      </c:pivotFmt>
      <c:pivotFmt>
        <c:idx val="1371"/>
        <c:spPr>
          <a:solidFill>
            <a:schemeClr val="accent1"/>
          </a:solidFill>
          <a:ln w="28575" cap="rnd">
            <a:solidFill>
              <a:schemeClr val="accent1"/>
            </a:solidFill>
            <a:round/>
          </a:ln>
          <a:effectLst/>
        </c:spPr>
        <c:marker>
          <c:symbol val="none"/>
        </c:marker>
      </c:pivotFmt>
      <c:pivotFmt>
        <c:idx val="1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3"/>
        <c:spPr>
          <a:solidFill>
            <a:schemeClr val="accent1"/>
          </a:solidFill>
          <a:ln w="28575" cap="rnd">
            <a:solidFill>
              <a:schemeClr val="accent1"/>
            </a:solidFill>
            <a:round/>
          </a:ln>
          <a:effectLst/>
        </c:spPr>
        <c:marker>
          <c:symbol val="none"/>
        </c:marker>
      </c:pivotFmt>
      <c:pivotFmt>
        <c:idx val="1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5"/>
        <c:spPr>
          <a:solidFill>
            <a:schemeClr val="accent1"/>
          </a:solidFill>
          <a:ln w="28575" cap="rnd">
            <a:solidFill>
              <a:schemeClr val="accent1"/>
            </a:solidFill>
            <a:round/>
          </a:ln>
          <a:effectLst/>
        </c:spPr>
        <c:marker>
          <c:symbol val="none"/>
        </c:marker>
      </c:pivotFmt>
      <c:pivotFmt>
        <c:idx val="1376"/>
        <c:spPr>
          <a:solidFill>
            <a:schemeClr val="accent1"/>
          </a:solidFill>
          <a:ln w="28575" cap="rnd">
            <a:solidFill>
              <a:schemeClr val="accent1"/>
            </a:solidFill>
            <a:round/>
          </a:ln>
          <a:effectLst/>
        </c:spPr>
        <c:marker>
          <c:symbol val="none"/>
        </c:marker>
      </c:pivotFmt>
      <c:pivotFmt>
        <c:idx val="1377"/>
        <c:spPr>
          <a:solidFill>
            <a:schemeClr val="accent1"/>
          </a:solidFill>
          <a:ln w="28575" cap="rnd">
            <a:solidFill>
              <a:schemeClr val="accent1"/>
            </a:solidFill>
            <a:round/>
          </a:ln>
          <a:effectLst/>
        </c:spPr>
        <c:marker>
          <c:symbol val="none"/>
        </c:marker>
      </c:pivotFmt>
      <c:pivotFmt>
        <c:idx val="13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7"/>
        <c:spPr>
          <a:solidFill>
            <a:schemeClr val="accent1"/>
          </a:solidFill>
          <a:ln w="28575" cap="rnd">
            <a:solidFill>
              <a:schemeClr val="accent1"/>
            </a:solidFill>
            <a:round/>
          </a:ln>
          <a:effectLst/>
        </c:spPr>
        <c:marker>
          <c:symbol val="none"/>
        </c:marker>
      </c:pivotFmt>
      <c:pivotFmt>
        <c:idx val="1448"/>
        <c:spPr>
          <a:solidFill>
            <a:schemeClr val="accent1"/>
          </a:solidFill>
          <a:ln w="28575" cap="rnd">
            <a:solidFill>
              <a:schemeClr val="accent1"/>
            </a:solidFill>
            <a:round/>
          </a:ln>
          <a:effectLst/>
        </c:spPr>
        <c:marker>
          <c:symbol val="none"/>
        </c:marker>
      </c:pivotFmt>
      <c:pivotFmt>
        <c:idx val="14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6"/>
        <c:spPr>
          <a:solidFill>
            <a:schemeClr val="accent1"/>
          </a:solidFill>
          <a:ln w="28575" cap="rnd">
            <a:solidFill>
              <a:schemeClr val="accent1"/>
            </a:solidFill>
            <a:round/>
          </a:ln>
          <a:effectLst/>
        </c:spPr>
        <c:marker>
          <c:symbol val="none"/>
        </c:marker>
      </c:pivotFmt>
      <c:pivotFmt>
        <c:idx val="1467"/>
        <c:spPr>
          <a:solidFill>
            <a:schemeClr val="accent1"/>
          </a:solidFill>
          <a:ln w="28575" cap="rnd">
            <a:solidFill>
              <a:schemeClr val="accent1"/>
            </a:solidFill>
            <a:round/>
          </a:ln>
          <a:effectLst/>
        </c:spPr>
        <c:marker>
          <c:symbol val="none"/>
        </c:marker>
      </c:pivotFmt>
      <c:pivotFmt>
        <c:idx val="1468"/>
        <c:spPr>
          <a:solidFill>
            <a:schemeClr val="accent1"/>
          </a:solidFill>
          <a:ln w="28575" cap="rnd">
            <a:solidFill>
              <a:schemeClr val="accent1"/>
            </a:solidFill>
            <a:round/>
          </a:ln>
          <a:effectLst/>
        </c:spPr>
        <c:marker>
          <c:symbol val="none"/>
        </c:marker>
      </c:pivotFmt>
      <c:pivotFmt>
        <c:idx val="14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3"/>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4"/>
        <c:spPr>
          <a:solidFill>
            <a:schemeClr val="accent1"/>
          </a:solidFill>
          <a:ln w="28575" cap="rnd">
            <a:solidFill>
              <a:schemeClr val="accent1"/>
            </a:solidFill>
            <a:round/>
          </a:ln>
          <a:effectLst/>
        </c:spPr>
        <c:marker>
          <c:symbol val="none"/>
        </c:marker>
      </c:pivotFmt>
      <c:pivotFmt>
        <c:idx val="1635"/>
        <c:spPr>
          <a:solidFill>
            <a:schemeClr val="accent1"/>
          </a:solidFill>
          <a:ln w="28575" cap="rnd">
            <a:solidFill>
              <a:schemeClr val="accent1"/>
            </a:solidFill>
            <a:round/>
          </a:ln>
          <a:effectLst/>
        </c:spPr>
        <c:marker>
          <c:symbol val="none"/>
        </c:marker>
      </c:pivotFmt>
      <c:pivotFmt>
        <c:idx val="1636"/>
        <c:spPr>
          <a:solidFill>
            <a:schemeClr val="accent1"/>
          </a:solidFill>
          <a:ln w="28575" cap="rnd">
            <a:solidFill>
              <a:schemeClr val="accent1"/>
            </a:solidFill>
            <a:round/>
          </a:ln>
          <a:effectLst/>
        </c:spPr>
        <c:marker>
          <c:symbol val="none"/>
        </c:marker>
      </c:pivotFmt>
      <c:pivotFmt>
        <c:idx val="1637"/>
        <c:spPr>
          <a:solidFill>
            <a:schemeClr val="accent1"/>
          </a:solidFill>
          <a:ln w="28575" cap="rnd">
            <a:solidFill>
              <a:schemeClr val="accent1"/>
            </a:solidFill>
            <a:round/>
          </a:ln>
          <a:effectLst/>
          <a:sp3d contourW="28575">
            <a:contourClr>
              <a:schemeClr val="accent1"/>
            </a:contourClr>
          </a:sp3d>
        </c:spPr>
        <c:marker>
          <c:symbol val="none"/>
        </c:marker>
      </c:pivotFmt>
      <c:pivotFmt>
        <c:idx val="1638"/>
        <c:spPr>
          <a:solidFill>
            <a:schemeClr val="accent1"/>
          </a:solidFill>
          <a:ln w="28575" cap="rnd">
            <a:solidFill>
              <a:schemeClr val="accent1"/>
            </a:solidFill>
            <a:round/>
          </a:ln>
          <a:effectLst/>
        </c:spPr>
        <c:marker>
          <c:symbol val="none"/>
        </c:marker>
      </c:pivotFmt>
      <c:pivotFmt>
        <c:idx val="16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3"/>
        <c:spPr>
          <a:solidFill>
            <a:schemeClr val="accent1"/>
          </a:solidFill>
          <a:ln w="28575" cap="rnd">
            <a:solidFill>
              <a:schemeClr val="accent1"/>
            </a:solidFill>
            <a:round/>
          </a:ln>
          <a:effectLst/>
        </c:spPr>
        <c:marker>
          <c:symbol val="none"/>
        </c:marker>
      </c:pivotFmt>
      <c:pivotFmt>
        <c:idx val="16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8"/>
        <c:spPr>
          <a:solidFill>
            <a:schemeClr val="accent1"/>
          </a:solidFill>
          <a:ln w="28575" cap="rnd">
            <a:solidFill>
              <a:schemeClr val="accent1"/>
            </a:solidFill>
            <a:round/>
          </a:ln>
          <a:effectLst/>
        </c:spPr>
        <c:marker>
          <c:symbol val="none"/>
        </c:marker>
      </c:pivotFmt>
      <c:pivotFmt>
        <c:idx val="16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1"/>
        <c:spPr>
          <a:solidFill>
            <a:schemeClr val="accent1"/>
          </a:solidFill>
          <a:ln w="28575" cap="rnd">
            <a:solidFill>
              <a:schemeClr val="accent1"/>
            </a:solidFill>
            <a:round/>
          </a:ln>
          <a:effectLst/>
        </c:spPr>
        <c:marker>
          <c:symbol val="none"/>
        </c:marker>
      </c:pivotFmt>
      <c:pivotFmt>
        <c:idx val="1652"/>
        <c:spPr>
          <a:solidFill>
            <a:schemeClr val="accent1"/>
          </a:solidFill>
          <a:ln w="28575" cap="rnd">
            <a:solidFill>
              <a:schemeClr val="accent1"/>
            </a:solidFill>
            <a:round/>
          </a:ln>
          <a:effectLst/>
        </c:spPr>
        <c:marker>
          <c:symbol val="none"/>
        </c:marker>
      </c:pivotFmt>
      <c:pivotFmt>
        <c:idx val="16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4"/>
        <c:spPr>
          <a:solidFill>
            <a:schemeClr val="accent1"/>
          </a:solidFill>
          <a:ln w="28575" cap="rnd">
            <a:solidFill>
              <a:schemeClr val="accent1"/>
            </a:solidFill>
            <a:round/>
          </a:ln>
          <a:effectLst/>
        </c:spPr>
        <c:marker>
          <c:symbol val="none"/>
        </c:marker>
      </c:pivotFmt>
      <c:pivotFmt>
        <c:idx val="1655"/>
        <c:spPr>
          <a:solidFill>
            <a:schemeClr val="accent1"/>
          </a:solidFill>
          <a:ln w="28575" cap="rnd">
            <a:solidFill>
              <a:schemeClr val="accent1"/>
            </a:solidFill>
            <a:round/>
          </a:ln>
          <a:effectLst/>
        </c:spPr>
        <c:marker>
          <c:symbol val="none"/>
        </c:marker>
      </c:pivotFmt>
      <c:pivotFmt>
        <c:idx val="16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7"/>
        <c:spPr>
          <a:solidFill>
            <a:schemeClr val="accent1"/>
          </a:solidFill>
          <a:ln w="28575" cap="rnd">
            <a:solidFill>
              <a:schemeClr val="accent1"/>
            </a:solidFill>
            <a:round/>
          </a:ln>
          <a:effectLst/>
        </c:spPr>
        <c:marker>
          <c:symbol val="none"/>
        </c:marker>
      </c:pivotFmt>
      <c:pivotFmt>
        <c:idx val="16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9"/>
        <c:spPr>
          <a:solidFill>
            <a:schemeClr val="accent1"/>
          </a:solidFill>
          <a:ln w="28575" cap="rnd">
            <a:solidFill>
              <a:schemeClr val="accent1"/>
            </a:solidFill>
            <a:round/>
          </a:ln>
          <a:effectLst/>
        </c:spPr>
        <c:marker>
          <c:symbol val="none"/>
        </c:marker>
      </c:pivotFmt>
      <c:pivotFmt>
        <c:idx val="1660"/>
        <c:spPr>
          <a:solidFill>
            <a:schemeClr val="accent1"/>
          </a:solidFill>
          <a:ln w="28575" cap="rnd">
            <a:solidFill>
              <a:schemeClr val="accent1"/>
            </a:solidFill>
            <a:round/>
          </a:ln>
          <a:effectLst/>
        </c:spPr>
        <c:marker>
          <c:symbol val="none"/>
        </c:marker>
      </c:pivotFmt>
      <c:pivotFmt>
        <c:idx val="1661"/>
        <c:spPr>
          <a:solidFill>
            <a:schemeClr val="accent1"/>
          </a:solidFill>
          <a:ln w="28575" cap="rnd">
            <a:solidFill>
              <a:schemeClr val="accent1"/>
            </a:solidFill>
            <a:round/>
          </a:ln>
          <a:effectLst/>
          <a:sp3d contourW="28575">
            <a:contourClr>
              <a:schemeClr val="accent1"/>
            </a:contourClr>
          </a:sp3d>
        </c:spPr>
        <c:marker>
          <c:symbol val="none"/>
        </c:marker>
      </c:pivotFmt>
      <c:pivotFmt>
        <c:idx val="16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7"/>
        <c:spPr>
          <a:solidFill>
            <a:schemeClr val="accent1"/>
          </a:solidFill>
          <a:ln w="28575" cap="rnd">
            <a:solidFill>
              <a:schemeClr val="accent1"/>
            </a:solidFill>
            <a:round/>
          </a:ln>
          <a:effectLst/>
        </c:spPr>
        <c:marker>
          <c:symbol val="none"/>
        </c:marker>
      </c:pivotFmt>
      <c:pivotFmt>
        <c:idx val="16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9"/>
        <c:spPr>
          <a:solidFill>
            <a:schemeClr val="accent1"/>
          </a:solidFill>
          <a:ln w="28575" cap="rnd">
            <a:solidFill>
              <a:schemeClr val="accent1"/>
            </a:solidFill>
            <a:round/>
          </a:ln>
          <a:effectLst/>
          <a:sp3d contourW="28575">
            <a:contourClr>
              <a:schemeClr val="accent1"/>
            </a:contourClr>
          </a:sp3d>
        </c:spPr>
        <c:marker>
          <c:symbol val="none"/>
        </c:marker>
      </c:pivotFmt>
      <c:pivotFmt>
        <c:idx val="1670"/>
        <c:spPr>
          <a:solidFill>
            <a:schemeClr val="accent1"/>
          </a:solidFill>
          <a:ln w="28575" cap="rnd">
            <a:solidFill>
              <a:schemeClr val="accent1"/>
            </a:solidFill>
            <a:round/>
          </a:ln>
          <a:effectLst/>
        </c:spPr>
        <c:marker>
          <c:symbol val="none"/>
        </c:marker>
      </c:pivotFmt>
      <c:pivotFmt>
        <c:idx val="1671"/>
        <c:spPr>
          <a:solidFill>
            <a:schemeClr val="accent1"/>
          </a:solidFill>
          <a:ln w="28575" cap="rnd">
            <a:solidFill>
              <a:schemeClr val="accent1"/>
            </a:solidFill>
            <a:round/>
          </a:ln>
          <a:effectLst/>
        </c:spPr>
        <c:marker>
          <c:symbol val="none"/>
        </c:marker>
      </c:pivotFmt>
      <c:pivotFmt>
        <c:idx val="1672"/>
        <c:spPr>
          <a:solidFill>
            <a:schemeClr val="accent1"/>
          </a:solidFill>
          <a:ln w="28575" cap="rnd">
            <a:solidFill>
              <a:schemeClr val="accent1"/>
            </a:solidFill>
            <a:round/>
          </a:ln>
          <a:effectLst/>
        </c:spPr>
        <c:marker>
          <c:symbol val="none"/>
        </c:marker>
      </c:pivotFmt>
      <c:pivotFmt>
        <c:idx val="1673"/>
        <c:spPr>
          <a:solidFill>
            <a:schemeClr val="accent1"/>
          </a:solidFill>
          <a:ln w="28575" cap="rnd">
            <a:solidFill>
              <a:schemeClr val="accent1"/>
            </a:solidFill>
            <a:round/>
          </a:ln>
          <a:effectLst/>
        </c:spPr>
        <c:marker>
          <c:symbol val="none"/>
        </c:marker>
      </c:pivotFmt>
      <c:pivotFmt>
        <c:idx val="16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9"/>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7"/>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5"/>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3"/>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0"/>
        <c:spPr>
          <a:solidFill>
            <a:schemeClr val="accent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8"/>
        <c:spPr>
          <a:solidFill>
            <a:schemeClr val="accent1"/>
          </a:solidFill>
          <a:ln>
            <a:noFill/>
          </a:ln>
          <a:effectLst/>
          <a:sp3d/>
        </c:spPr>
        <c:marker>
          <c:symbol val="none"/>
        </c:marker>
      </c:pivotFmt>
      <c:pivotFmt>
        <c:idx val="17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929553070802489E-2"/>
          <c:y val="0.19632440172138249"/>
          <c:w val="0.50109014103699656"/>
          <c:h val="0.52780325216901902"/>
        </c:manualLayout>
      </c:layout>
      <c:bar3DChart>
        <c:barDir val="col"/>
        <c:grouping val="standard"/>
        <c:varyColors val="0"/>
        <c:ser>
          <c:idx val="0"/>
          <c:order val="0"/>
          <c:tx>
            <c:strRef>
              <c:f>'Downtime Analyse'!$B$6:$B$9</c:f>
              <c:strCache>
                <c:ptCount val="1"/>
                <c:pt idx="0">
                  <c:v>TECH01 - Part Replacement - None</c:v>
                </c:pt>
              </c:strCache>
            </c:strRef>
          </c:tx>
          <c:spPr>
            <a:solidFill>
              <a:schemeClr val="accent1"/>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Analyse'!$B$10:$B$80</c:f>
              <c:numCache>
                <c:formatCode>General</c:formatCode>
                <c:ptCount val="63"/>
              </c:numCache>
            </c:numRef>
          </c:val>
          <c:extLst>
            <c:ext xmlns:c16="http://schemas.microsoft.com/office/drawing/2014/chart" uri="{C3380CC4-5D6E-409C-BE32-E72D297353CC}">
              <c16:uniqueId val="{00000000-26F0-41A6-B79E-86BCE4046021}"/>
            </c:ext>
          </c:extLst>
        </c:ser>
        <c:ser>
          <c:idx val="1"/>
          <c:order val="1"/>
          <c:tx>
            <c:strRef>
              <c:f>'Downtime Analyse'!$C$6:$C$9</c:f>
              <c:strCache>
                <c:ptCount val="1"/>
                <c:pt idx="0">
                  <c:v>TECH01 - Part Replacement - Scheduled</c:v>
                </c:pt>
              </c:strCache>
            </c:strRef>
          </c:tx>
          <c:spPr>
            <a:solidFill>
              <a:schemeClr val="accent2"/>
            </a:solidFill>
            <a:ln w="28575" cap="rnd">
              <a:solidFill>
                <a:schemeClr val="accent1"/>
              </a:solidFill>
              <a:round/>
            </a:ln>
            <a:effectLst/>
            <a:sp3d contourW="28575">
              <a:contourClr>
                <a:schemeClr val="accent1"/>
              </a:contourClr>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Analyse'!$C$10:$C$80</c:f>
              <c:numCache>
                <c:formatCode>General</c:formatCode>
                <c:ptCount val="63"/>
              </c:numCache>
            </c:numRef>
          </c:val>
          <c:extLst>
            <c:ext xmlns:c16="http://schemas.microsoft.com/office/drawing/2014/chart" uri="{C3380CC4-5D6E-409C-BE32-E72D297353CC}">
              <c16:uniqueId val="{00000462-26F0-41A6-B79E-86BCE4046021}"/>
            </c:ext>
          </c:extLst>
        </c:ser>
        <c:ser>
          <c:idx val="2"/>
          <c:order val="2"/>
          <c:tx>
            <c:strRef>
              <c:f>'Downtime Analyse'!$D$6:$D$9</c:f>
              <c:strCache>
                <c:ptCount val="1"/>
                <c:pt idx="0">
                  <c:v>TECH01 - Part Replacement - Unscheduled</c:v>
                </c:pt>
              </c:strCache>
            </c:strRef>
          </c:tx>
          <c:spPr>
            <a:solidFill>
              <a:schemeClr val="accent3"/>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Analyse'!$D$10:$D$80</c:f>
              <c:numCache>
                <c:formatCode>General</c:formatCode>
                <c:ptCount val="63"/>
              </c:numCache>
            </c:numRef>
          </c:val>
          <c:extLst>
            <c:ext xmlns:c16="http://schemas.microsoft.com/office/drawing/2014/chart" uri="{C3380CC4-5D6E-409C-BE32-E72D297353CC}">
              <c16:uniqueId val="{00000463-26F0-41A6-B79E-86BCE4046021}"/>
            </c:ext>
          </c:extLst>
        </c:ser>
        <c:ser>
          <c:idx val="3"/>
          <c:order val="3"/>
          <c:tx>
            <c:strRef>
              <c:f>'Downtime Analyse'!$G$6:$G$9</c:f>
              <c:strCache>
                <c:ptCount val="1"/>
                <c:pt idx="0">
                  <c:v>TECH02 - Part Replacement - None</c:v>
                </c:pt>
              </c:strCache>
            </c:strRef>
          </c:tx>
          <c:spPr>
            <a:solidFill>
              <a:schemeClr val="accent4"/>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Analyse'!$G$10:$G$80</c:f>
              <c:numCache>
                <c:formatCode>General</c:formatCode>
                <c:ptCount val="63"/>
              </c:numCache>
            </c:numRef>
          </c:val>
          <c:extLst>
            <c:ext xmlns:c16="http://schemas.microsoft.com/office/drawing/2014/chart" uri="{C3380CC4-5D6E-409C-BE32-E72D297353CC}">
              <c16:uniqueId val="{00000000-3375-44CD-993C-274E3ADA5B59}"/>
            </c:ext>
          </c:extLst>
        </c:ser>
        <c:ser>
          <c:idx val="4"/>
          <c:order val="4"/>
          <c:tx>
            <c:strRef>
              <c:f>'Downtime Analyse'!$H$6:$H$9</c:f>
              <c:strCache>
                <c:ptCount val="1"/>
                <c:pt idx="0">
                  <c:v>TECH02 - Part Replacement - Scheduled</c:v>
                </c:pt>
              </c:strCache>
            </c:strRef>
          </c:tx>
          <c:spPr>
            <a:solidFill>
              <a:schemeClr val="accent5"/>
            </a:solidFill>
            <a:ln w="28575" cap="rnd">
              <a:solidFill>
                <a:schemeClr val="accent1"/>
              </a:solidFill>
              <a:round/>
            </a:ln>
            <a:effectLst/>
            <a:sp3d contourW="28575">
              <a:contourClr>
                <a:schemeClr val="accent1"/>
              </a:contourClr>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Analyse'!$H$10:$H$80</c:f>
              <c:numCache>
                <c:formatCode>General</c:formatCode>
                <c:ptCount val="63"/>
              </c:numCache>
            </c:numRef>
          </c:val>
          <c:extLst>
            <c:ext xmlns:c16="http://schemas.microsoft.com/office/drawing/2014/chart" uri="{C3380CC4-5D6E-409C-BE32-E72D297353CC}">
              <c16:uniqueId val="{00000001-3375-44CD-993C-274E3ADA5B59}"/>
            </c:ext>
          </c:extLst>
        </c:ser>
        <c:ser>
          <c:idx val="5"/>
          <c:order val="5"/>
          <c:tx>
            <c:strRef>
              <c:f>'Downtime Analyse'!$I$6:$I$9</c:f>
              <c:strCache>
                <c:ptCount val="1"/>
                <c:pt idx="0">
                  <c:v>TECH02 - Part Replacement - Unscheduled</c:v>
                </c:pt>
              </c:strCache>
            </c:strRef>
          </c:tx>
          <c:spPr>
            <a:solidFill>
              <a:schemeClr val="accent6"/>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Analyse'!$I$10:$I$80</c:f>
              <c:numCache>
                <c:formatCode>General</c:formatCode>
                <c:ptCount val="63"/>
                <c:pt idx="1">
                  <c:v>41.24</c:v>
                </c:pt>
              </c:numCache>
            </c:numRef>
          </c:val>
          <c:extLst>
            <c:ext xmlns:c16="http://schemas.microsoft.com/office/drawing/2014/chart" uri="{C3380CC4-5D6E-409C-BE32-E72D297353CC}">
              <c16:uniqueId val="{00000002-3375-44CD-993C-274E3ADA5B59}"/>
            </c:ext>
          </c:extLst>
        </c:ser>
        <c:ser>
          <c:idx val="6"/>
          <c:order val="6"/>
          <c:tx>
            <c:strRef>
              <c:f>'Downtime Analyse'!$L$6:$L$9</c:f>
              <c:strCache>
                <c:ptCount val="1"/>
                <c:pt idx="0">
                  <c:v>TECH03 - Part Replacement - None</c:v>
                </c:pt>
              </c:strCache>
            </c:strRef>
          </c:tx>
          <c:spPr>
            <a:solidFill>
              <a:schemeClr val="accent1">
                <a:lumMod val="6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Analyse'!$L$10:$L$80</c:f>
              <c:numCache>
                <c:formatCode>General</c:formatCode>
                <c:ptCount val="63"/>
              </c:numCache>
            </c:numRef>
          </c:val>
          <c:extLst>
            <c:ext xmlns:c16="http://schemas.microsoft.com/office/drawing/2014/chart" uri="{C3380CC4-5D6E-409C-BE32-E72D297353CC}">
              <c16:uniqueId val="{00000003-3375-44CD-993C-274E3ADA5B59}"/>
            </c:ext>
          </c:extLst>
        </c:ser>
        <c:ser>
          <c:idx val="7"/>
          <c:order val="7"/>
          <c:tx>
            <c:strRef>
              <c:f>'Downtime Analyse'!$M$6:$M$9</c:f>
              <c:strCache>
                <c:ptCount val="1"/>
                <c:pt idx="0">
                  <c:v>TECH03 - Part Replacement - Scheduled</c:v>
                </c:pt>
              </c:strCache>
            </c:strRef>
          </c:tx>
          <c:spPr>
            <a:solidFill>
              <a:schemeClr val="accent2">
                <a:lumMod val="60000"/>
              </a:schemeClr>
            </a:solidFill>
            <a:ln w="28575" cap="rnd">
              <a:solidFill>
                <a:schemeClr val="accent1"/>
              </a:solidFill>
              <a:round/>
            </a:ln>
            <a:effectLst/>
            <a:sp3d contourW="28575">
              <a:contourClr>
                <a:schemeClr val="accent1"/>
              </a:contourClr>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Analyse'!$M$10:$M$80</c:f>
              <c:numCache>
                <c:formatCode>General</c:formatCode>
                <c:ptCount val="63"/>
              </c:numCache>
            </c:numRef>
          </c:val>
          <c:extLst>
            <c:ext xmlns:c16="http://schemas.microsoft.com/office/drawing/2014/chart" uri="{C3380CC4-5D6E-409C-BE32-E72D297353CC}">
              <c16:uniqueId val="{00000004-3375-44CD-993C-274E3ADA5B59}"/>
            </c:ext>
          </c:extLst>
        </c:ser>
        <c:ser>
          <c:idx val="8"/>
          <c:order val="8"/>
          <c:tx>
            <c:strRef>
              <c:f>'Downtime Analyse'!$N$6:$N$9</c:f>
              <c:strCache>
                <c:ptCount val="1"/>
                <c:pt idx="0">
                  <c:v>TECH03 - Part Replacement - Unscheduled</c:v>
                </c:pt>
              </c:strCache>
            </c:strRef>
          </c:tx>
          <c:spPr>
            <a:solidFill>
              <a:schemeClr val="accent3">
                <a:lumMod val="6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Analyse'!$N$10:$N$80</c:f>
              <c:numCache>
                <c:formatCode>General</c:formatCode>
                <c:ptCount val="63"/>
                <c:pt idx="2">
                  <c:v>8.75</c:v>
                </c:pt>
              </c:numCache>
            </c:numRef>
          </c:val>
          <c:extLst>
            <c:ext xmlns:c16="http://schemas.microsoft.com/office/drawing/2014/chart" uri="{C3380CC4-5D6E-409C-BE32-E72D297353CC}">
              <c16:uniqueId val="{00000005-3375-44CD-993C-274E3ADA5B59}"/>
            </c:ext>
          </c:extLst>
        </c:ser>
        <c:ser>
          <c:idx val="9"/>
          <c:order val="9"/>
          <c:tx>
            <c:strRef>
              <c:f>'Downtime Analyse'!$Q$6:$Q$9</c:f>
              <c:strCache>
                <c:ptCount val="1"/>
                <c:pt idx="0">
                  <c:v>TECH04 - Part Replacement - None</c:v>
                </c:pt>
              </c:strCache>
            </c:strRef>
          </c:tx>
          <c:spPr>
            <a:solidFill>
              <a:schemeClr val="accent4">
                <a:lumMod val="6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Analyse'!$Q$10:$Q$80</c:f>
              <c:numCache>
                <c:formatCode>General</c:formatCode>
                <c:ptCount val="63"/>
              </c:numCache>
            </c:numRef>
          </c:val>
          <c:extLst>
            <c:ext xmlns:c16="http://schemas.microsoft.com/office/drawing/2014/chart" uri="{C3380CC4-5D6E-409C-BE32-E72D297353CC}">
              <c16:uniqueId val="{00000006-3375-44CD-993C-274E3ADA5B59}"/>
            </c:ext>
          </c:extLst>
        </c:ser>
        <c:ser>
          <c:idx val="10"/>
          <c:order val="10"/>
          <c:tx>
            <c:strRef>
              <c:f>'Downtime Analyse'!$R$6:$R$9</c:f>
              <c:strCache>
                <c:ptCount val="1"/>
                <c:pt idx="0">
                  <c:v>TECH04 - Part Replacement - Scheduled</c:v>
                </c:pt>
              </c:strCache>
            </c:strRef>
          </c:tx>
          <c:spPr>
            <a:solidFill>
              <a:schemeClr val="accent5">
                <a:lumMod val="60000"/>
              </a:schemeClr>
            </a:solidFill>
            <a:ln w="28575" cap="rnd">
              <a:solidFill>
                <a:schemeClr val="accent1"/>
              </a:solidFill>
              <a:round/>
            </a:ln>
            <a:effectLst/>
            <a:sp3d contourW="28575">
              <a:contourClr>
                <a:schemeClr val="accent1"/>
              </a:contourClr>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Analyse'!$R$10:$R$80</c:f>
              <c:numCache>
                <c:formatCode>General</c:formatCode>
                <c:ptCount val="63"/>
              </c:numCache>
            </c:numRef>
          </c:val>
          <c:extLst>
            <c:ext xmlns:c16="http://schemas.microsoft.com/office/drawing/2014/chart" uri="{C3380CC4-5D6E-409C-BE32-E72D297353CC}">
              <c16:uniqueId val="{00000007-3375-44CD-993C-274E3ADA5B59}"/>
            </c:ext>
          </c:extLst>
        </c:ser>
        <c:ser>
          <c:idx val="11"/>
          <c:order val="11"/>
          <c:tx>
            <c:strRef>
              <c:f>'Downtime Analyse'!$S$6:$S$9</c:f>
              <c:strCache>
                <c:ptCount val="1"/>
                <c:pt idx="0">
                  <c:v>TECH04 - Part Replacement - Unscheduled</c:v>
                </c:pt>
              </c:strCache>
            </c:strRef>
          </c:tx>
          <c:spPr>
            <a:solidFill>
              <a:schemeClr val="accent6">
                <a:lumMod val="6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Analyse'!$S$10:$S$80</c:f>
              <c:numCache>
                <c:formatCode>General</c:formatCode>
                <c:ptCount val="63"/>
              </c:numCache>
            </c:numRef>
          </c:val>
          <c:extLst>
            <c:ext xmlns:c16="http://schemas.microsoft.com/office/drawing/2014/chart" uri="{C3380CC4-5D6E-409C-BE32-E72D297353CC}">
              <c16:uniqueId val="{00000008-3375-44CD-993C-274E3ADA5B59}"/>
            </c:ext>
          </c:extLst>
        </c:ser>
        <c:ser>
          <c:idx val="12"/>
          <c:order val="12"/>
          <c:tx>
            <c:strRef>
              <c:f>'Downtime Analyse'!$V$6:$V$9</c:f>
              <c:strCache>
                <c:ptCount val="1"/>
                <c:pt idx="0">
                  <c:v>TECH05 - Part Replacement - None</c:v>
                </c:pt>
              </c:strCache>
            </c:strRef>
          </c:tx>
          <c:spPr>
            <a:solidFill>
              <a:schemeClr val="accent1">
                <a:lumMod val="80000"/>
                <a:lumOff val="2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Analyse'!$V$10:$V$80</c:f>
              <c:numCache>
                <c:formatCode>General</c:formatCode>
                <c:ptCount val="63"/>
              </c:numCache>
            </c:numRef>
          </c:val>
          <c:extLst>
            <c:ext xmlns:c16="http://schemas.microsoft.com/office/drawing/2014/chart" uri="{C3380CC4-5D6E-409C-BE32-E72D297353CC}">
              <c16:uniqueId val="{00000009-3375-44CD-993C-274E3ADA5B59}"/>
            </c:ext>
          </c:extLst>
        </c:ser>
        <c:ser>
          <c:idx val="13"/>
          <c:order val="13"/>
          <c:tx>
            <c:strRef>
              <c:f>'Downtime Analyse'!$W$6:$W$9</c:f>
              <c:strCache>
                <c:ptCount val="1"/>
                <c:pt idx="0">
                  <c:v>TECH05 - Part Replacement - Scheduled</c:v>
                </c:pt>
              </c:strCache>
            </c:strRef>
          </c:tx>
          <c:spPr>
            <a:solidFill>
              <a:schemeClr val="accent2">
                <a:lumMod val="80000"/>
                <a:lumOff val="20000"/>
              </a:schemeClr>
            </a:solidFill>
            <a:ln w="28575" cap="rnd">
              <a:solidFill>
                <a:schemeClr val="accent1"/>
              </a:solidFill>
              <a:round/>
            </a:ln>
            <a:effectLst/>
            <a:sp3d contourW="28575">
              <a:contourClr>
                <a:schemeClr val="accent1"/>
              </a:contourClr>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Analyse'!$W$10:$W$80</c:f>
              <c:numCache>
                <c:formatCode>General</c:formatCode>
                <c:ptCount val="63"/>
              </c:numCache>
            </c:numRef>
          </c:val>
          <c:extLst>
            <c:ext xmlns:c16="http://schemas.microsoft.com/office/drawing/2014/chart" uri="{C3380CC4-5D6E-409C-BE32-E72D297353CC}">
              <c16:uniqueId val="{0000000A-3375-44CD-993C-274E3ADA5B59}"/>
            </c:ext>
          </c:extLst>
        </c:ser>
        <c:ser>
          <c:idx val="14"/>
          <c:order val="14"/>
          <c:tx>
            <c:strRef>
              <c:f>'Downtime Analyse'!$X$6:$X$9</c:f>
              <c:strCache>
                <c:ptCount val="1"/>
                <c:pt idx="0">
                  <c:v>TECH05 - Part Replacement - Unscheduled</c:v>
                </c:pt>
              </c:strCache>
            </c:strRef>
          </c:tx>
          <c:spPr>
            <a:solidFill>
              <a:schemeClr val="accent3">
                <a:lumMod val="80000"/>
                <a:lumOff val="2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Analyse'!$X$10:$X$80</c:f>
              <c:numCache>
                <c:formatCode>General</c:formatCode>
                <c:ptCount val="63"/>
              </c:numCache>
            </c:numRef>
          </c:val>
          <c:extLst>
            <c:ext xmlns:c16="http://schemas.microsoft.com/office/drawing/2014/chart" uri="{C3380CC4-5D6E-409C-BE32-E72D297353CC}">
              <c16:uniqueId val="{0000000B-3375-44CD-993C-274E3ADA5B59}"/>
            </c:ext>
          </c:extLst>
        </c:ser>
        <c:ser>
          <c:idx val="15"/>
          <c:order val="15"/>
          <c:tx>
            <c:strRef>
              <c:f>'Downtime Analyse'!$AA$6:$AA$9</c:f>
              <c:strCache>
                <c:ptCount val="1"/>
                <c:pt idx="0">
                  <c:v>TECH06 - Part Replacement - None</c:v>
                </c:pt>
              </c:strCache>
            </c:strRef>
          </c:tx>
          <c:spPr>
            <a:solidFill>
              <a:schemeClr val="accent4">
                <a:lumMod val="80000"/>
                <a:lumOff val="2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Analyse'!$AA$10:$AA$80</c:f>
              <c:numCache>
                <c:formatCode>General</c:formatCode>
                <c:ptCount val="63"/>
              </c:numCache>
            </c:numRef>
          </c:val>
          <c:extLst>
            <c:ext xmlns:c16="http://schemas.microsoft.com/office/drawing/2014/chart" uri="{C3380CC4-5D6E-409C-BE32-E72D297353CC}">
              <c16:uniqueId val="{0000000C-3375-44CD-993C-274E3ADA5B59}"/>
            </c:ext>
          </c:extLst>
        </c:ser>
        <c:ser>
          <c:idx val="16"/>
          <c:order val="16"/>
          <c:tx>
            <c:strRef>
              <c:f>'Downtime Analyse'!$AB$6:$AB$9</c:f>
              <c:strCache>
                <c:ptCount val="1"/>
                <c:pt idx="0">
                  <c:v>TECH06 - Part Replacement - Scheduled</c:v>
                </c:pt>
              </c:strCache>
            </c:strRef>
          </c:tx>
          <c:spPr>
            <a:solidFill>
              <a:schemeClr val="accent5">
                <a:lumMod val="80000"/>
                <a:lumOff val="2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Analyse'!$AB$10:$AB$80</c:f>
              <c:numCache>
                <c:formatCode>General</c:formatCode>
                <c:ptCount val="63"/>
              </c:numCache>
            </c:numRef>
          </c:val>
          <c:extLst>
            <c:ext xmlns:c16="http://schemas.microsoft.com/office/drawing/2014/chart" uri="{C3380CC4-5D6E-409C-BE32-E72D297353CC}">
              <c16:uniqueId val="{0000000D-3375-44CD-993C-274E3ADA5B59}"/>
            </c:ext>
          </c:extLst>
        </c:ser>
        <c:ser>
          <c:idx val="17"/>
          <c:order val="17"/>
          <c:tx>
            <c:strRef>
              <c:f>'Downtime Analyse'!$AC$6:$AC$9</c:f>
              <c:strCache>
                <c:ptCount val="1"/>
                <c:pt idx="0">
                  <c:v>TECH06 - Part Replacement - Unscheduled</c:v>
                </c:pt>
              </c:strCache>
            </c:strRef>
          </c:tx>
          <c:spPr>
            <a:solidFill>
              <a:schemeClr val="accent6">
                <a:lumMod val="80000"/>
                <a:lumOff val="2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Analyse'!$AC$10:$AC$80</c:f>
              <c:numCache>
                <c:formatCode>General</c:formatCode>
                <c:ptCount val="63"/>
              </c:numCache>
            </c:numRef>
          </c:val>
          <c:extLst>
            <c:ext xmlns:c16="http://schemas.microsoft.com/office/drawing/2014/chart" uri="{C3380CC4-5D6E-409C-BE32-E72D297353CC}">
              <c16:uniqueId val="{0000000E-3375-44CD-993C-274E3ADA5B59}"/>
            </c:ext>
          </c:extLst>
        </c:ser>
        <c:ser>
          <c:idx val="18"/>
          <c:order val="18"/>
          <c:tx>
            <c:strRef>
              <c:f>'Downtime Analyse'!$AF$6:$AF$9</c:f>
              <c:strCache>
                <c:ptCount val="1"/>
                <c:pt idx="0">
                  <c:v>TECH07 - Part Replacement - None</c:v>
                </c:pt>
              </c:strCache>
            </c:strRef>
          </c:tx>
          <c:spPr>
            <a:solidFill>
              <a:schemeClr val="accent1">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Analyse'!$AF$10:$AF$80</c:f>
              <c:numCache>
                <c:formatCode>General</c:formatCode>
                <c:ptCount val="63"/>
              </c:numCache>
            </c:numRef>
          </c:val>
          <c:extLst>
            <c:ext xmlns:c16="http://schemas.microsoft.com/office/drawing/2014/chart" uri="{C3380CC4-5D6E-409C-BE32-E72D297353CC}">
              <c16:uniqueId val="{0000000F-3375-44CD-993C-274E3ADA5B59}"/>
            </c:ext>
          </c:extLst>
        </c:ser>
        <c:ser>
          <c:idx val="19"/>
          <c:order val="19"/>
          <c:tx>
            <c:strRef>
              <c:f>'Downtime Analyse'!$AG$6:$AG$9</c:f>
              <c:strCache>
                <c:ptCount val="1"/>
                <c:pt idx="0">
                  <c:v>TECH07 - Part Replacement - Scheduled</c:v>
                </c:pt>
              </c:strCache>
            </c:strRef>
          </c:tx>
          <c:spPr>
            <a:solidFill>
              <a:schemeClr val="accent2">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Analyse'!$AG$10:$AG$80</c:f>
              <c:numCache>
                <c:formatCode>General</c:formatCode>
                <c:ptCount val="63"/>
              </c:numCache>
            </c:numRef>
          </c:val>
          <c:extLst>
            <c:ext xmlns:c16="http://schemas.microsoft.com/office/drawing/2014/chart" uri="{C3380CC4-5D6E-409C-BE32-E72D297353CC}">
              <c16:uniqueId val="{00000010-3375-44CD-993C-274E3ADA5B59}"/>
            </c:ext>
          </c:extLst>
        </c:ser>
        <c:ser>
          <c:idx val="20"/>
          <c:order val="20"/>
          <c:tx>
            <c:strRef>
              <c:f>'Downtime Analyse'!$AH$6:$AH$9</c:f>
              <c:strCache>
                <c:ptCount val="1"/>
                <c:pt idx="0">
                  <c:v>TECH07 - Part Replacement - Unscheduled</c:v>
                </c:pt>
              </c:strCache>
            </c:strRef>
          </c:tx>
          <c:spPr>
            <a:solidFill>
              <a:schemeClr val="accent3">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Analyse'!$AH$10:$AH$80</c:f>
              <c:numCache>
                <c:formatCode>General</c:formatCode>
                <c:ptCount val="63"/>
                <c:pt idx="0">
                  <c:v>48.05</c:v>
                </c:pt>
              </c:numCache>
            </c:numRef>
          </c:val>
          <c:extLst>
            <c:ext xmlns:c16="http://schemas.microsoft.com/office/drawing/2014/chart" uri="{C3380CC4-5D6E-409C-BE32-E72D297353CC}">
              <c16:uniqueId val="{00000011-3375-44CD-993C-274E3ADA5B59}"/>
            </c:ext>
          </c:extLst>
        </c:ser>
        <c:ser>
          <c:idx val="21"/>
          <c:order val="21"/>
          <c:tx>
            <c:strRef>
              <c:f>'Downtime Analyse'!$AK$6:$AK$9</c:f>
              <c:strCache>
                <c:ptCount val="1"/>
                <c:pt idx="0">
                  <c:v>TECH08 - Part Replacement - None</c:v>
                </c:pt>
              </c:strCache>
            </c:strRef>
          </c:tx>
          <c:spPr>
            <a:solidFill>
              <a:schemeClr val="accent4">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Analyse'!$AK$10:$AK$80</c:f>
              <c:numCache>
                <c:formatCode>General</c:formatCode>
                <c:ptCount val="63"/>
              </c:numCache>
            </c:numRef>
          </c:val>
          <c:extLst>
            <c:ext xmlns:c16="http://schemas.microsoft.com/office/drawing/2014/chart" uri="{C3380CC4-5D6E-409C-BE32-E72D297353CC}">
              <c16:uniqueId val="{00000012-3375-44CD-993C-274E3ADA5B59}"/>
            </c:ext>
          </c:extLst>
        </c:ser>
        <c:ser>
          <c:idx val="22"/>
          <c:order val="22"/>
          <c:tx>
            <c:strRef>
              <c:f>'Downtime Analyse'!$AL$6:$AL$9</c:f>
              <c:strCache>
                <c:ptCount val="1"/>
                <c:pt idx="0">
                  <c:v>TECH08 - Part Replacement - Scheduled</c:v>
                </c:pt>
              </c:strCache>
            </c:strRef>
          </c:tx>
          <c:spPr>
            <a:solidFill>
              <a:schemeClr val="accent5">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Analyse'!$AL$10:$AL$80</c:f>
              <c:numCache>
                <c:formatCode>General</c:formatCode>
                <c:ptCount val="63"/>
              </c:numCache>
            </c:numRef>
          </c:val>
          <c:extLst>
            <c:ext xmlns:c16="http://schemas.microsoft.com/office/drawing/2014/chart" uri="{C3380CC4-5D6E-409C-BE32-E72D297353CC}">
              <c16:uniqueId val="{00000013-3375-44CD-993C-274E3ADA5B59}"/>
            </c:ext>
          </c:extLst>
        </c:ser>
        <c:ser>
          <c:idx val="23"/>
          <c:order val="23"/>
          <c:tx>
            <c:strRef>
              <c:f>'Downtime Analyse'!$AM$6:$AM$9</c:f>
              <c:strCache>
                <c:ptCount val="1"/>
                <c:pt idx="0">
                  <c:v>TECH08 - Part Replacement - Unscheduled</c:v>
                </c:pt>
              </c:strCache>
            </c:strRef>
          </c:tx>
          <c:spPr>
            <a:solidFill>
              <a:schemeClr val="accent6">
                <a:lumMod val="80000"/>
              </a:schemeClr>
            </a:solidFill>
            <a:ln>
              <a:noFill/>
            </a:ln>
            <a:effectLst/>
            <a:sp3d/>
          </c:spPr>
          <c:invertIfNegative val="0"/>
          <c:cat>
            <c:multiLvlStrRef>
              <c:f>'Downtime Analyse'!$A$10:$A$80</c:f>
              <c:multiLvlStrCache>
                <c:ptCount val="63"/>
                <c:lvl>
                  <c:pt idx="0">
                    <c:v>CT Scanner</c:v>
                  </c:pt>
                  <c:pt idx="1">
                    <c:v>Ultrasound Machine</c:v>
                  </c:pt>
                  <c:pt idx="2">
                    <c:v>X-Ray Machine</c:v>
                  </c:pt>
                  <c:pt idx="3">
                    <c:v>Anesthesia Machine</c:v>
                  </c:pt>
                  <c:pt idx="4">
                    <c:v>CT Scanner</c:v>
                  </c:pt>
                  <c:pt idx="5">
                    <c:v>Defibrillator</c:v>
                  </c:pt>
                  <c:pt idx="6">
                    <c:v>Dialysis Machine</c:v>
                  </c:pt>
                  <c:pt idx="7">
                    <c:v>ECG Machine</c:v>
                  </c:pt>
                  <c:pt idx="8">
                    <c:v>Infusion Pump</c:v>
                  </c:pt>
                  <c:pt idx="9">
                    <c:v>MRI Scanner</c:v>
                  </c:pt>
                  <c:pt idx="10">
                    <c:v>Patient Monitor</c:v>
                  </c:pt>
                  <c:pt idx="11">
                    <c:v>Surgical Robot</c:v>
                  </c:pt>
                  <c:pt idx="12">
                    <c:v>Ultrasound Machine</c:v>
                  </c:pt>
                  <c:pt idx="13">
                    <c:v>Ventilator</c:v>
                  </c:pt>
                  <c:pt idx="14">
                    <c:v>X-Ray Machine</c:v>
                  </c:pt>
                  <c:pt idx="15">
                    <c:v>Anesthesia Machine</c:v>
                  </c:pt>
                  <c:pt idx="16">
                    <c:v>CT Scanner</c:v>
                  </c:pt>
                  <c:pt idx="17">
                    <c:v>Defibrillator</c:v>
                  </c:pt>
                  <c:pt idx="18">
                    <c:v>Dialysis Machine</c:v>
                  </c:pt>
                  <c:pt idx="19">
                    <c:v>ECG Machine</c:v>
                  </c:pt>
                  <c:pt idx="20">
                    <c:v>Infusion Pump</c:v>
                  </c:pt>
                  <c:pt idx="21">
                    <c:v>MRI Scanner</c:v>
                  </c:pt>
                  <c:pt idx="22">
                    <c:v>Patient Monitor</c:v>
                  </c:pt>
                  <c:pt idx="23">
                    <c:v>Surgical Robot</c:v>
                  </c:pt>
                  <c:pt idx="24">
                    <c:v>Ultrasound Machine</c:v>
                  </c:pt>
                  <c:pt idx="25">
                    <c:v>Ventilator</c:v>
                  </c:pt>
                  <c:pt idx="26">
                    <c:v>X-Ray Machine</c:v>
                  </c:pt>
                  <c:pt idx="27">
                    <c:v>Anesthesia Machine</c:v>
                  </c:pt>
                  <c:pt idx="28">
                    <c:v>CT Scanner</c:v>
                  </c:pt>
                  <c:pt idx="29">
                    <c:v>Defibrillator</c:v>
                  </c:pt>
                  <c:pt idx="30">
                    <c:v>Dialysis Machine</c:v>
                  </c:pt>
                  <c:pt idx="31">
                    <c:v>ECG Machine</c:v>
                  </c:pt>
                  <c:pt idx="32">
                    <c:v>Infusion Pump</c:v>
                  </c:pt>
                  <c:pt idx="33">
                    <c:v>MRI Scanner</c:v>
                  </c:pt>
                  <c:pt idx="34">
                    <c:v>Patient Monitor</c:v>
                  </c:pt>
                  <c:pt idx="35">
                    <c:v>Surgical Robot</c:v>
                  </c:pt>
                  <c:pt idx="36">
                    <c:v>Ultrasound Machine</c:v>
                  </c:pt>
                  <c:pt idx="37">
                    <c:v>Ventilator</c:v>
                  </c:pt>
                  <c:pt idx="38">
                    <c:v>X-Ray Machine</c:v>
                  </c:pt>
                  <c:pt idx="39">
                    <c:v>Anesthesia Machine</c:v>
                  </c:pt>
                  <c:pt idx="40">
                    <c:v>CT Scanner</c:v>
                  </c:pt>
                  <c:pt idx="41">
                    <c:v>Defibrillator</c:v>
                  </c:pt>
                  <c:pt idx="42">
                    <c:v>Dialysis Machine</c:v>
                  </c:pt>
                  <c:pt idx="43">
                    <c:v>ECG Machine</c:v>
                  </c:pt>
                  <c:pt idx="44">
                    <c:v>Infusion Pump</c:v>
                  </c:pt>
                  <c:pt idx="45">
                    <c:v>MRI Scanner</c:v>
                  </c:pt>
                  <c:pt idx="46">
                    <c:v>Patient Monitor</c:v>
                  </c:pt>
                  <c:pt idx="47">
                    <c:v>Surgical Robot</c:v>
                  </c:pt>
                  <c:pt idx="48">
                    <c:v>Ultrasound Machine</c:v>
                  </c:pt>
                  <c:pt idx="49">
                    <c:v>Ventilator</c:v>
                  </c:pt>
                  <c:pt idx="50">
                    <c:v>X-Ray Machine</c:v>
                  </c:pt>
                  <c:pt idx="51">
                    <c:v>Anesthesia Machine</c:v>
                  </c:pt>
                  <c:pt idx="52">
                    <c:v>CT Scanner</c:v>
                  </c:pt>
                  <c:pt idx="53">
                    <c:v>Defibrillator</c:v>
                  </c:pt>
                  <c:pt idx="54">
                    <c:v>Dialysis Machine</c:v>
                  </c:pt>
                  <c:pt idx="55">
                    <c:v>ECG Machine</c:v>
                  </c:pt>
                  <c:pt idx="56">
                    <c:v>Infusion Pump</c:v>
                  </c:pt>
                  <c:pt idx="57">
                    <c:v>MRI Scanner</c:v>
                  </c:pt>
                  <c:pt idx="58">
                    <c:v>Patient Monitor</c:v>
                  </c:pt>
                  <c:pt idx="59">
                    <c:v>Surgical Robot</c:v>
                  </c:pt>
                  <c:pt idx="60">
                    <c:v>Ultrasound Machine</c:v>
                  </c:pt>
                  <c:pt idx="61">
                    <c:v>Ventilator</c:v>
                  </c:pt>
                  <c:pt idx="62">
                    <c:v>X-Ray Machine</c:v>
                  </c:pt>
                </c:lvl>
                <c:lvl>
                  <c:pt idx="0">
                    <c:v>Emergency</c:v>
                  </c:pt>
                  <c:pt idx="2">
                    <c:v>General Ward</c:v>
                  </c:pt>
                  <c:pt idx="3">
                    <c:v>Formula7</c:v>
                  </c:pt>
                  <c:pt idx="15">
                    <c:v>Formula8</c:v>
                  </c:pt>
                  <c:pt idx="27">
                    <c:v>Formula9</c:v>
                  </c:pt>
                  <c:pt idx="39">
                    <c:v>Formula10</c:v>
                  </c:pt>
                  <c:pt idx="51">
                    <c:v>Formula11</c:v>
                  </c:pt>
                </c:lvl>
              </c:multiLvlStrCache>
            </c:multiLvlStrRef>
          </c:cat>
          <c:val>
            <c:numRef>
              <c:f>'Downtime Analyse'!$AM$10:$AM$80</c:f>
              <c:numCache>
                <c:formatCode>General</c:formatCode>
                <c:ptCount val="63"/>
              </c:numCache>
            </c:numRef>
          </c:val>
          <c:extLst>
            <c:ext xmlns:c16="http://schemas.microsoft.com/office/drawing/2014/chart" uri="{C3380CC4-5D6E-409C-BE32-E72D297353CC}">
              <c16:uniqueId val="{00000014-3375-44CD-993C-274E3ADA5B59}"/>
            </c:ext>
          </c:extLst>
        </c:ser>
        <c:dLbls>
          <c:showLegendKey val="0"/>
          <c:showVal val="0"/>
          <c:showCatName val="0"/>
          <c:showSerName val="0"/>
          <c:showPercent val="0"/>
          <c:showBubbleSize val="0"/>
        </c:dLbls>
        <c:gapWidth val="150"/>
        <c:shape val="box"/>
        <c:axId val="786234048"/>
        <c:axId val="786248928"/>
        <c:axId val="1056888784"/>
      </c:bar3DChart>
      <c:catAx>
        <c:axId val="78623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48928"/>
        <c:crosses val="autoZero"/>
        <c:auto val="1"/>
        <c:lblAlgn val="ctr"/>
        <c:lblOffset val="100"/>
        <c:noMultiLvlLbl val="0"/>
      </c:catAx>
      <c:valAx>
        <c:axId val="78624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34048"/>
        <c:crosses val="autoZero"/>
        <c:crossBetween val="between"/>
      </c:valAx>
      <c:serAx>
        <c:axId val="10568887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48928"/>
        <c:crosses val="autoZero"/>
      </c:serAx>
      <c:spPr>
        <a:noFill/>
        <a:ln>
          <a:noFill/>
        </a:ln>
        <a:effectLst/>
      </c:spPr>
    </c:plotArea>
    <c:legend>
      <c:legendPos val="r"/>
      <c:layout>
        <c:manualLayout>
          <c:xMode val="edge"/>
          <c:yMode val="edge"/>
          <c:x val="0.66835536422104447"/>
          <c:y val="3.2423752375190011E-2"/>
          <c:w val="0.28187886722937244"/>
          <c:h val="0.537132950979879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[Hospital_Equipment_Analysis.csv.xlsx]Sheet5!PivotTable4</c:name>
    <c:fmtId val="0"/>
  </c:pivotSource>
  <c:chart>
    <c:autoTitleDeleted val="0"/>
    <c:pivotFmts>
      <c:pivotFmt>
        <c:idx val="0"/>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3"/>
          </a:solidFill>
          <a:ln w="19050">
            <a:solidFill>
              <a:schemeClr val="lt1"/>
            </a:solidFill>
          </a:ln>
          <a:effectLst/>
        </c:spPr>
      </c:pivotFmt>
      <c:pivotFmt>
        <c:idx val="49"/>
        <c:spPr>
          <a:solidFill>
            <a:schemeClr val="accent3"/>
          </a:solidFill>
          <a:ln w="19050">
            <a:solidFill>
              <a:schemeClr val="lt1"/>
            </a:solidFill>
          </a:ln>
          <a:effectLst/>
        </c:spPr>
      </c:pivotFmt>
      <c:pivotFmt>
        <c:idx val="50"/>
        <c:spPr>
          <a:solidFill>
            <a:schemeClr val="accent3"/>
          </a:solidFill>
          <a:ln w="19050">
            <a:solidFill>
              <a:schemeClr val="lt1"/>
            </a:solidFill>
          </a:ln>
          <a:effectLst/>
        </c:spPr>
      </c:pivotFmt>
      <c:pivotFmt>
        <c:idx val="51"/>
        <c:spPr>
          <a:solidFill>
            <a:schemeClr val="accent4"/>
          </a:solidFill>
          <a:ln w="19050">
            <a:solidFill>
              <a:schemeClr val="lt1"/>
            </a:solidFill>
          </a:ln>
          <a:effectLst/>
        </c:spPr>
      </c:pivotFmt>
      <c:pivotFmt>
        <c:idx val="52"/>
        <c:spPr>
          <a:solidFill>
            <a:schemeClr val="accent4"/>
          </a:solidFill>
          <a:ln w="19050">
            <a:solidFill>
              <a:schemeClr val="lt1"/>
            </a:solidFill>
          </a:ln>
          <a:effectLst/>
        </c:spPr>
      </c:pivotFmt>
      <c:pivotFmt>
        <c:idx val="53"/>
        <c:spPr>
          <a:solidFill>
            <a:schemeClr val="accent4"/>
          </a:solidFill>
          <a:ln w="19050">
            <a:solidFill>
              <a:schemeClr val="lt1"/>
            </a:solidFill>
          </a:ln>
          <a:effectLst/>
        </c:spPr>
      </c:pivotFmt>
      <c:pivotFmt>
        <c:idx val="54"/>
        <c:spPr>
          <a:solidFill>
            <a:schemeClr val="accent5"/>
          </a:solidFill>
          <a:ln w="19050">
            <a:solidFill>
              <a:schemeClr val="lt1"/>
            </a:solidFill>
          </a:ln>
          <a:effectLst/>
        </c:spPr>
      </c:pivotFmt>
      <c:pivotFmt>
        <c:idx val="55"/>
        <c:spPr>
          <a:solidFill>
            <a:schemeClr val="accent5"/>
          </a:solidFill>
          <a:ln w="19050">
            <a:solidFill>
              <a:schemeClr val="lt1"/>
            </a:solidFill>
          </a:ln>
          <a:effectLst/>
        </c:spPr>
      </c:pivotFmt>
      <c:pivotFmt>
        <c:idx val="56"/>
        <c:spPr>
          <a:solidFill>
            <a:schemeClr val="accent5"/>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1">
              <a:lumMod val="60000"/>
            </a:schemeClr>
          </a:solidFill>
          <a:ln w="19050">
            <a:solidFill>
              <a:schemeClr val="lt1"/>
            </a:solidFill>
          </a:ln>
          <a:effectLst/>
        </c:spPr>
      </c:pivotFmt>
      <c:pivotFmt>
        <c:idx val="61"/>
        <c:spPr>
          <a:solidFill>
            <a:schemeClr val="accent1">
              <a:lumMod val="60000"/>
            </a:schemeClr>
          </a:solidFill>
          <a:ln w="19050">
            <a:solidFill>
              <a:schemeClr val="lt1"/>
            </a:solidFill>
          </a:ln>
          <a:effectLst/>
        </c:spPr>
      </c:pivotFmt>
      <c:pivotFmt>
        <c:idx val="62"/>
        <c:spPr>
          <a:solidFill>
            <a:schemeClr val="accent1">
              <a:lumMod val="60000"/>
            </a:schemeClr>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Cardiology</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F05-406A-8A3A-E546F091FC1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F05-406A-8A3A-E546F091FC1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F05-406A-8A3A-E546F091FC18}"/>
              </c:ext>
            </c:extLst>
          </c:dPt>
          <c:cat>
            <c:strRef>
              <c:f>Sheet5!$A$5:$A$8</c:f>
              <c:strCache>
                <c:ptCount val="3"/>
                <c:pt idx="0">
                  <c:v>CT Scanner</c:v>
                </c:pt>
                <c:pt idx="1">
                  <c:v>Defibrillator</c:v>
                </c:pt>
                <c:pt idx="2">
                  <c:v>ECG Machine</c:v>
                </c:pt>
              </c:strCache>
            </c:strRef>
          </c:cat>
          <c:val>
            <c:numRef>
              <c:f>Sheet5!$B$5:$B$8</c:f>
              <c:numCache>
                <c:formatCode>General</c:formatCode>
                <c:ptCount val="3"/>
                <c:pt idx="0">
                  <c:v>16.100000000000001</c:v>
                </c:pt>
                <c:pt idx="1">
                  <c:v>12.3</c:v>
                </c:pt>
                <c:pt idx="2">
                  <c:v>28.800000000000004</c:v>
                </c:pt>
              </c:numCache>
            </c:numRef>
          </c:val>
          <c:extLst>
            <c:ext xmlns:c16="http://schemas.microsoft.com/office/drawing/2014/chart" uri="{C3380CC4-5D6E-409C-BE32-E72D297353CC}">
              <c16:uniqueId val="{00000000-62C6-407D-8EBB-EA7607FF8E25}"/>
            </c:ext>
          </c:extLst>
        </c:ser>
        <c:ser>
          <c:idx val="1"/>
          <c:order val="1"/>
          <c:tx>
            <c:strRef>
              <c:f>Sheet5!$C$3:$C$4</c:f>
              <c:strCache>
                <c:ptCount val="1"/>
                <c:pt idx="0">
                  <c:v>Emergency</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3F05-406A-8A3A-E546F091FC18}"/>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3F05-406A-8A3A-E546F091FC18}"/>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B-3F05-406A-8A3A-E546F091FC18}"/>
              </c:ext>
            </c:extLst>
          </c:dPt>
          <c:cat>
            <c:strRef>
              <c:f>Sheet5!$A$5:$A$8</c:f>
              <c:strCache>
                <c:ptCount val="3"/>
                <c:pt idx="0">
                  <c:v>CT Scanner</c:v>
                </c:pt>
                <c:pt idx="1">
                  <c:v>Defibrillator</c:v>
                </c:pt>
                <c:pt idx="2">
                  <c:v>ECG Machine</c:v>
                </c:pt>
              </c:strCache>
            </c:strRef>
          </c:cat>
          <c:val>
            <c:numRef>
              <c:f>Sheet5!$C$5:$C$8</c:f>
              <c:numCache>
                <c:formatCode>General</c:formatCode>
                <c:ptCount val="3"/>
                <c:pt idx="0">
                  <c:v>21.3</c:v>
                </c:pt>
                <c:pt idx="1">
                  <c:v>4.0999999999999996</c:v>
                </c:pt>
                <c:pt idx="2">
                  <c:v>0.6</c:v>
                </c:pt>
              </c:numCache>
            </c:numRef>
          </c:val>
          <c:extLst>
            <c:ext xmlns:c16="http://schemas.microsoft.com/office/drawing/2014/chart" uri="{C3380CC4-5D6E-409C-BE32-E72D297353CC}">
              <c16:uniqueId val="{0000000D-62C6-407D-8EBB-EA7607FF8E25}"/>
            </c:ext>
          </c:extLst>
        </c:ser>
        <c:ser>
          <c:idx val="2"/>
          <c:order val="2"/>
          <c:tx>
            <c:strRef>
              <c:f>Sheet5!$D$3:$D$4</c:f>
              <c:strCache>
                <c:ptCount val="1"/>
                <c:pt idx="0">
                  <c:v>General Ward</c:v>
                </c:pt>
              </c:strCache>
            </c:strRef>
          </c:tx>
          <c:spPr>
            <a:solidFill>
              <a:schemeClr val="accent3"/>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D-3F05-406A-8A3A-E546F091FC18}"/>
              </c:ext>
            </c:extLst>
          </c:dPt>
          <c:dPt>
            <c:idx val="1"/>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F-3F05-406A-8A3A-E546F091FC18}"/>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1-3F05-406A-8A3A-E546F091FC18}"/>
              </c:ext>
            </c:extLst>
          </c:dPt>
          <c:cat>
            <c:strRef>
              <c:f>Sheet5!$A$5:$A$8</c:f>
              <c:strCache>
                <c:ptCount val="3"/>
                <c:pt idx="0">
                  <c:v>CT Scanner</c:v>
                </c:pt>
                <c:pt idx="1">
                  <c:v>Defibrillator</c:v>
                </c:pt>
                <c:pt idx="2">
                  <c:v>ECG Machine</c:v>
                </c:pt>
              </c:strCache>
            </c:strRef>
          </c:cat>
          <c:val>
            <c:numRef>
              <c:f>Sheet5!$D$5:$D$8</c:f>
              <c:numCache>
                <c:formatCode>General</c:formatCode>
                <c:ptCount val="3"/>
                <c:pt idx="0">
                  <c:v>25.399999999999995</c:v>
                </c:pt>
                <c:pt idx="1">
                  <c:v>1.3</c:v>
                </c:pt>
                <c:pt idx="2">
                  <c:v>7.4</c:v>
                </c:pt>
              </c:numCache>
            </c:numRef>
          </c:val>
          <c:extLst>
            <c:ext xmlns:c16="http://schemas.microsoft.com/office/drawing/2014/chart" uri="{C3380CC4-5D6E-409C-BE32-E72D297353CC}">
              <c16:uniqueId val="{0000000E-62C6-407D-8EBB-EA7607FF8E25}"/>
            </c:ext>
          </c:extLst>
        </c:ser>
        <c:ser>
          <c:idx val="3"/>
          <c:order val="3"/>
          <c:tx>
            <c:strRef>
              <c:f>Sheet5!$E$3:$E$4</c:f>
              <c:strCache>
                <c:ptCount val="1"/>
                <c:pt idx="0">
                  <c:v>ICU</c:v>
                </c:pt>
              </c:strCache>
            </c:strRef>
          </c:tx>
          <c:spPr>
            <a:solidFill>
              <a:schemeClr val="accent4"/>
            </a:solidFill>
            <a:ln w="19050">
              <a:solidFill>
                <a:schemeClr val="lt1"/>
              </a:solidFill>
            </a:ln>
            <a:effectLst/>
          </c:spPr>
          <c:invertIfNegative val="0"/>
          <c:dPt>
            <c:idx val="0"/>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3-3F05-406A-8A3A-E546F091FC18}"/>
              </c:ext>
            </c:extLst>
          </c:dPt>
          <c:dPt>
            <c:idx val="1"/>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5-3F05-406A-8A3A-E546F091FC18}"/>
              </c:ext>
            </c:extLst>
          </c:dPt>
          <c:dPt>
            <c:idx val="2"/>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7-3F05-406A-8A3A-E546F091FC18}"/>
              </c:ext>
            </c:extLst>
          </c:dPt>
          <c:cat>
            <c:strRef>
              <c:f>Sheet5!$A$5:$A$8</c:f>
              <c:strCache>
                <c:ptCount val="3"/>
                <c:pt idx="0">
                  <c:v>CT Scanner</c:v>
                </c:pt>
                <c:pt idx="1">
                  <c:v>Defibrillator</c:v>
                </c:pt>
                <c:pt idx="2">
                  <c:v>ECG Machine</c:v>
                </c:pt>
              </c:strCache>
            </c:strRef>
          </c:cat>
          <c:val>
            <c:numRef>
              <c:f>Sheet5!$E$5:$E$8</c:f>
              <c:numCache>
                <c:formatCode>General</c:formatCode>
                <c:ptCount val="3"/>
                <c:pt idx="0">
                  <c:v>11.9</c:v>
                </c:pt>
                <c:pt idx="1">
                  <c:v>10.199999999999999</c:v>
                </c:pt>
                <c:pt idx="2">
                  <c:v>10.8</c:v>
                </c:pt>
              </c:numCache>
            </c:numRef>
          </c:val>
          <c:extLst>
            <c:ext xmlns:c16="http://schemas.microsoft.com/office/drawing/2014/chart" uri="{C3380CC4-5D6E-409C-BE32-E72D297353CC}">
              <c16:uniqueId val="{0000000F-62C6-407D-8EBB-EA7607FF8E25}"/>
            </c:ext>
          </c:extLst>
        </c:ser>
        <c:ser>
          <c:idx val="4"/>
          <c:order val="4"/>
          <c:tx>
            <c:strRef>
              <c:f>Sheet5!$F$3:$F$4</c:f>
              <c:strCache>
                <c:ptCount val="1"/>
                <c:pt idx="0">
                  <c:v>Nephrology</c:v>
                </c:pt>
              </c:strCache>
            </c:strRef>
          </c:tx>
          <c:spPr>
            <a:solidFill>
              <a:schemeClr val="accent5"/>
            </a:solidFill>
            <a:ln w="19050">
              <a:solidFill>
                <a:schemeClr val="lt1"/>
              </a:solidFill>
            </a:ln>
            <a:effectLst/>
          </c:spPr>
          <c:invertIfNegative val="0"/>
          <c:dPt>
            <c:idx val="0"/>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19-3F05-406A-8A3A-E546F091FC18}"/>
              </c:ext>
            </c:extLst>
          </c:dPt>
          <c:dPt>
            <c:idx val="1"/>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1B-3F05-406A-8A3A-E546F091FC18}"/>
              </c:ext>
            </c:extLst>
          </c:dPt>
          <c:dPt>
            <c:idx val="2"/>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1D-3F05-406A-8A3A-E546F091FC18}"/>
              </c:ext>
            </c:extLst>
          </c:dPt>
          <c:cat>
            <c:strRef>
              <c:f>Sheet5!$A$5:$A$8</c:f>
              <c:strCache>
                <c:ptCount val="3"/>
                <c:pt idx="0">
                  <c:v>CT Scanner</c:v>
                </c:pt>
                <c:pt idx="1">
                  <c:v>Defibrillator</c:v>
                </c:pt>
                <c:pt idx="2">
                  <c:v>ECG Machine</c:v>
                </c:pt>
              </c:strCache>
            </c:strRef>
          </c:cat>
          <c:val>
            <c:numRef>
              <c:f>Sheet5!$F$5:$F$8</c:f>
              <c:numCache>
                <c:formatCode>General</c:formatCode>
                <c:ptCount val="3"/>
                <c:pt idx="0">
                  <c:v>6.6000000000000005</c:v>
                </c:pt>
                <c:pt idx="1">
                  <c:v>10.1</c:v>
                </c:pt>
                <c:pt idx="2">
                  <c:v>12.8</c:v>
                </c:pt>
              </c:numCache>
            </c:numRef>
          </c:val>
          <c:extLst>
            <c:ext xmlns:c16="http://schemas.microsoft.com/office/drawing/2014/chart" uri="{C3380CC4-5D6E-409C-BE32-E72D297353CC}">
              <c16:uniqueId val="{00000010-62C6-407D-8EBB-EA7607FF8E25}"/>
            </c:ext>
          </c:extLst>
        </c:ser>
        <c:ser>
          <c:idx val="5"/>
          <c:order val="5"/>
          <c:tx>
            <c:strRef>
              <c:f>Sheet5!$G$3:$G$4</c:f>
              <c:strCache>
                <c:ptCount val="1"/>
                <c:pt idx="0">
                  <c:v>OT</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1F-3F05-406A-8A3A-E546F091FC18}"/>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21-3F05-406A-8A3A-E546F091FC18}"/>
              </c:ext>
            </c:extLst>
          </c:dPt>
          <c:dPt>
            <c:idx val="2"/>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23-3F05-406A-8A3A-E546F091FC18}"/>
              </c:ext>
            </c:extLst>
          </c:dPt>
          <c:cat>
            <c:strRef>
              <c:f>Sheet5!$A$5:$A$8</c:f>
              <c:strCache>
                <c:ptCount val="3"/>
                <c:pt idx="0">
                  <c:v>CT Scanner</c:v>
                </c:pt>
                <c:pt idx="1">
                  <c:v>Defibrillator</c:v>
                </c:pt>
                <c:pt idx="2">
                  <c:v>ECG Machine</c:v>
                </c:pt>
              </c:strCache>
            </c:strRef>
          </c:cat>
          <c:val>
            <c:numRef>
              <c:f>Sheet5!$G$5:$G$8</c:f>
              <c:numCache>
                <c:formatCode>General</c:formatCode>
                <c:ptCount val="3"/>
                <c:pt idx="0">
                  <c:v>4.5</c:v>
                </c:pt>
                <c:pt idx="1">
                  <c:v>2.9000000000000004</c:v>
                </c:pt>
                <c:pt idx="2">
                  <c:v>2.9</c:v>
                </c:pt>
              </c:numCache>
            </c:numRef>
          </c:val>
          <c:extLst>
            <c:ext xmlns:c16="http://schemas.microsoft.com/office/drawing/2014/chart" uri="{C3380CC4-5D6E-409C-BE32-E72D297353CC}">
              <c16:uniqueId val="{00000011-62C6-407D-8EBB-EA7607FF8E25}"/>
            </c:ext>
          </c:extLst>
        </c:ser>
        <c:ser>
          <c:idx val="6"/>
          <c:order val="6"/>
          <c:tx>
            <c:strRef>
              <c:f>Sheet5!$H$3:$H$4</c:f>
              <c:strCache>
                <c:ptCount val="1"/>
                <c:pt idx="0">
                  <c:v>Radiology</c:v>
                </c:pt>
              </c:strCache>
            </c:strRef>
          </c:tx>
          <c:spPr>
            <a:solidFill>
              <a:schemeClr val="accent1">
                <a:lumMod val="60000"/>
              </a:schemeClr>
            </a:solidFill>
            <a:ln w="19050">
              <a:solidFill>
                <a:schemeClr val="lt1"/>
              </a:solidFill>
            </a:ln>
            <a:effectLst/>
          </c:spPr>
          <c:invertIfNegative val="0"/>
          <c:dPt>
            <c:idx val="0"/>
            <c:invertIfNegative val="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5-3F05-406A-8A3A-E546F091FC18}"/>
              </c:ext>
            </c:extLst>
          </c:dPt>
          <c:dPt>
            <c:idx val="1"/>
            <c:invertIfNegative val="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3F05-406A-8A3A-E546F091FC18}"/>
              </c:ext>
            </c:extLst>
          </c:dPt>
          <c:dPt>
            <c:idx val="2"/>
            <c:invertIfNegative val="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3F05-406A-8A3A-E546F091FC18}"/>
              </c:ext>
            </c:extLst>
          </c:dPt>
          <c:cat>
            <c:strRef>
              <c:f>Sheet5!$A$5:$A$8</c:f>
              <c:strCache>
                <c:ptCount val="3"/>
                <c:pt idx="0">
                  <c:v>CT Scanner</c:v>
                </c:pt>
                <c:pt idx="1">
                  <c:v>Defibrillator</c:v>
                </c:pt>
                <c:pt idx="2">
                  <c:v>ECG Machine</c:v>
                </c:pt>
              </c:strCache>
            </c:strRef>
          </c:cat>
          <c:val>
            <c:numRef>
              <c:f>Sheet5!$H$5:$H$8</c:f>
              <c:numCache>
                <c:formatCode>General</c:formatCode>
                <c:ptCount val="3"/>
                <c:pt idx="0">
                  <c:v>9.5</c:v>
                </c:pt>
                <c:pt idx="1">
                  <c:v>2</c:v>
                </c:pt>
                <c:pt idx="2">
                  <c:v>2.2999999999999998</c:v>
                </c:pt>
              </c:numCache>
            </c:numRef>
          </c:val>
          <c:extLst>
            <c:ext xmlns:c16="http://schemas.microsoft.com/office/drawing/2014/chart" uri="{C3380CC4-5D6E-409C-BE32-E72D297353CC}">
              <c16:uniqueId val="{00000012-62C6-407D-8EBB-EA7607FF8E25}"/>
            </c:ext>
          </c:extLst>
        </c:ser>
        <c:ser>
          <c:idx val="7"/>
          <c:order val="7"/>
          <c:tx>
            <c:strRef>
              <c:f>Sheet5!$I$3:$I$4</c:f>
              <c:strCache>
                <c:ptCount val="1"/>
                <c:pt idx="0">
                  <c:v>Formula7</c:v>
                </c:pt>
              </c:strCache>
            </c:strRef>
          </c:tx>
          <c:spPr>
            <a:solidFill>
              <a:schemeClr val="accent2">
                <a:lumMod val="60000"/>
              </a:schemeClr>
            </a:solidFill>
            <a:ln w="19050">
              <a:solidFill>
                <a:schemeClr val="lt1"/>
              </a:solidFill>
            </a:ln>
            <a:effectLst/>
          </c:spPr>
          <c:invertIfNegative val="0"/>
          <c:cat>
            <c:strRef>
              <c:f>Sheet5!$A$5:$A$8</c:f>
              <c:strCache>
                <c:ptCount val="3"/>
                <c:pt idx="0">
                  <c:v>CT Scanner</c:v>
                </c:pt>
                <c:pt idx="1">
                  <c:v>Defibrillator</c:v>
                </c:pt>
                <c:pt idx="2">
                  <c:v>ECG Machine</c:v>
                </c:pt>
              </c:strCache>
            </c:strRef>
          </c:cat>
          <c:val>
            <c:numRef>
              <c:f>Sheet5!$I$5:$I$8</c:f>
              <c:numCache>
                <c:formatCode>General</c:formatCode>
                <c:ptCount val="3"/>
              </c:numCache>
            </c:numRef>
          </c:val>
          <c:extLst>
            <c:ext xmlns:c16="http://schemas.microsoft.com/office/drawing/2014/chart" uri="{C3380CC4-5D6E-409C-BE32-E72D297353CC}">
              <c16:uniqueId val="{0000002A-3F05-406A-8A3A-E546F091FC18}"/>
            </c:ext>
          </c:extLst>
        </c:ser>
        <c:ser>
          <c:idx val="8"/>
          <c:order val="8"/>
          <c:tx>
            <c:strRef>
              <c:f>Sheet5!$J$3:$J$4</c:f>
              <c:strCache>
                <c:ptCount val="1"/>
                <c:pt idx="0">
                  <c:v>Formula8</c:v>
                </c:pt>
              </c:strCache>
            </c:strRef>
          </c:tx>
          <c:spPr>
            <a:solidFill>
              <a:schemeClr val="accent3">
                <a:lumMod val="60000"/>
              </a:schemeClr>
            </a:solidFill>
            <a:ln w="19050">
              <a:solidFill>
                <a:schemeClr val="lt1"/>
              </a:solidFill>
            </a:ln>
            <a:effectLst/>
          </c:spPr>
          <c:invertIfNegative val="0"/>
          <c:cat>
            <c:strRef>
              <c:f>Sheet5!$A$5:$A$8</c:f>
              <c:strCache>
                <c:ptCount val="3"/>
                <c:pt idx="0">
                  <c:v>CT Scanner</c:v>
                </c:pt>
                <c:pt idx="1">
                  <c:v>Defibrillator</c:v>
                </c:pt>
                <c:pt idx="2">
                  <c:v>ECG Machine</c:v>
                </c:pt>
              </c:strCache>
            </c:strRef>
          </c:cat>
          <c:val>
            <c:numRef>
              <c:f>Sheet5!$J$5:$J$8</c:f>
              <c:numCache>
                <c:formatCode>General</c:formatCode>
                <c:ptCount val="3"/>
              </c:numCache>
            </c:numRef>
          </c:val>
          <c:extLst>
            <c:ext xmlns:c16="http://schemas.microsoft.com/office/drawing/2014/chart" uri="{C3380CC4-5D6E-409C-BE32-E72D297353CC}">
              <c16:uniqueId val="{0000002B-3F05-406A-8A3A-E546F091FC18}"/>
            </c:ext>
          </c:extLst>
        </c:ser>
        <c:ser>
          <c:idx val="9"/>
          <c:order val="9"/>
          <c:tx>
            <c:strRef>
              <c:f>Sheet5!$K$3:$K$4</c:f>
              <c:strCache>
                <c:ptCount val="1"/>
                <c:pt idx="0">
                  <c:v>Formula9</c:v>
                </c:pt>
              </c:strCache>
            </c:strRef>
          </c:tx>
          <c:spPr>
            <a:solidFill>
              <a:schemeClr val="accent4">
                <a:lumMod val="60000"/>
              </a:schemeClr>
            </a:solidFill>
            <a:ln w="19050">
              <a:solidFill>
                <a:schemeClr val="lt1"/>
              </a:solidFill>
            </a:ln>
            <a:effectLst/>
          </c:spPr>
          <c:invertIfNegative val="0"/>
          <c:cat>
            <c:strRef>
              <c:f>Sheet5!$A$5:$A$8</c:f>
              <c:strCache>
                <c:ptCount val="3"/>
                <c:pt idx="0">
                  <c:v>CT Scanner</c:v>
                </c:pt>
                <c:pt idx="1">
                  <c:v>Defibrillator</c:v>
                </c:pt>
                <c:pt idx="2">
                  <c:v>ECG Machine</c:v>
                </c:pt>
              </c:strCache>
            </c:strRef>
          </c:cat>
          <c:val>
            <c:numRef>
              <c:f>Sheet5!$K$5:$K$8</c:f>
              <c:numCache>
                <c:formatCode>General</c:formatCode>
                <c:ptCount val="3"/>
              </c:numCache>
            </c:numRef>
          </c:val>
          <c:extLst>
            <c:ext xmlns:c16="http://schemas.microsoft.com/office/drawing/2014/chart" uri="{C3380CC4-5D6E-409C-BE32-E72D297353CC}">
              <c16:uniqueId val="{0000002C-3F05-406A-8A3A-E546F091FC18}"/>
            </c:ext>
          </c:extLst>
        </c:ser>
        <c:ser>
          <c:idx val="10"/>
          <c:order val="10"/>
          <c:tx>
            <c:strRef>
              <c:f>Sheet5!$L$3:$L$4</c:f>
              <c:strCache>
                <c:ptCount val="1"/>
                <c:pt idx="0">
                  <c:v>Formula10</c:v>
                </c:pt>
              </c:strCache>
            </c:strRef>
          </c:tx>
          <c:spPr>
            <a:solidFill>
              <a:schemeClr val="accent5">
                <a:lumMod val="60000"/>
              </a:schemeClr>
            </a:solidFill>
            <a:ln w="19050">
              <a:solidFill>
                <a:schemeClr val="lt1"/>
              </a:solidFill>
            </a:ln>
            <a:effectLst/>
          </c:spPr>
          <c:invertIfNegative val="0"/>
          <c:cat>
            <c:strRef>
              <c:f>Sheet5!$A$5:$A$8</c:f>
              <c:strCache>
                <c:ptCount val="3"/>
                <c:pt idx="0">
                  <c:v>CT Scanner</c:v>
                </c:pt>
                <c:pt idx="1">
                  <c:v>Defibrillator</c:v>
                </c:pt>
                <c:pt idx="2">
                  <c:v>ECG Machine</c:v>
                </c:pt>
              </c:strCache>
            </c:strRef>
          </c:cat>
          <c:val>
            <c:numRef>
              <c:f>Sheet5!$L$5:$L$8</c:f>
              <c:numCache>
                <c:formatCode>General</c:formatCode>
                <c:ptCount val="3"/>
              </c:numCache>
            </c:numRef>
          </c:val>
          <c:extLst>
            <c:ext xmlns:c16="http://schemas.microsoft.com/office/drawing/2014/chart" uri="{C3380CC4-5D6E-409C-BE32-E72D297353CC}">
              <c16:uniqueId val="{0000002D-3F05-406A-8A3A-E546F091FC18}"/>
            </c:ext>
          </c:extLst>
        </c:ser>
        <c:ser>
          <c:idx val="11"/>
          <c:order val="11"/>
          <c:tx>
            <c:strRef>
              <c:f>Sheet5!$M$3:$M$4</c:f>
              <c:strCache>
                <c:ptCount val="1"/>
                <c:pt idx="0">
                  <c:v>Formula11</c:v>
                </c:pt>
              </c:strCache>
            </c:strRef>
          </c:tx>
          <c:spPr>
            <a:solidFill>
              <a:schemeClr val="accent6">
                <a:lumMod val="60000"/>
              </a:schemeClr>
            </a:solidFill>
            <a:ln w="19050">
              <a:solidFill>
                <a:schemeClr val="lt1"/>
              </a:solidFill>
            </a:ln>
            <a:effectLst/>
          </c:spPr>
          <c:invertIfNegative val="0"/>
          <c:cat>
            <c:strRef>
              <c:f>Sheet5!$A$5:$A$8</c:f>
              <c:strCache>
                <c:ptCount val="3"/>
                <c:pt idx="0">
                  <c:v>CT Scanner</c:v>
                </c:pt>
                <c:pt idx="1">
                  <c:v>Defibrillator</c:v>
                </c:pt>
                <c:pt idx="2">
                  <c:v>ECG Machine</c:v>
                </c:pt>
              </c:strCache>
            </c:strRef>
          </c:cat>
          <c:val>
            <c:numRef>
              <c:f>Sheet5!$M$5:$M$8</c:f>
              <c:numCache>
                <c:formatCode>General</c:formatCode>
                <c:ptCount val="3"/>
              </c:numCache>
            </c:numRef>
          </c:val>
          <c:extLst>
            <c:ext xmlns:c16="http://schemas.microsoft.com/office/drawing/2014/chart" uri="{C3380CC4-5D6E-409C-BE32-E72D297353CC}">
              <c16:uniqueId val="{0000002E-3F05-406A-8A3A-E546F091FC18}"/>
            </c:ext>
          </c:extLst>
        </c:ser>
        <c:dLbls>
          <c:showLegendKey val="0"/>
          <c:showVal val="0"/>
          <c:showCatName val="0"/>
          <c:showSerName val="0"/>
          <c:showPercent val="0"/>
          <c:showBubbleSize val="0"/>
        </c:dLbls>
        <c:gapWidth val="100"/>
        <c:axId val="493453696"/>
        <c:axId val="1726044383"/>
      </c:barChart>
      <c:catAx>
        <c:axId val="4934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44383"/>
        <c:crosses val="autoZero"/>
        <c:auto val="1"/>
        <c:lblAlgn val="ctr"/>
        <c:lblOffset val="100"/>
        <c:noMultiLvlLbl val="0"/>
      </c:catAx>
      <c:valAx>
        <c:axId val="172604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5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[Hospital_Equipment_Analysis.csv.xlsx]Executive Summary!PivotTable1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'Executive Summary'!$B$3:$B$5</c:f>
              <c:strCache>
                <c:ptCount val="1"/>
                <c:pt idx="0">
                  <c:v>Sum of Utilization_Rate(%) - Anesthesia Machine</c:v>
                </c:pt>
              </c:strCache>
            </c:strRef>
          </c:tx>
          <c:spPr>
            <a:solidFill>
              <a:schemeClr val="accent1"/>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Summary'!$B$6:$B$24</c:f>
              <c:numCache>
                <c:formatCode>General</c:formatCode>
                <c:ptCount val="18"/>
                <c:pt idx="0">
                  <c:v>114.51</c:v>
                </c:pt>
                <c:pt idx="1">
                  <c:v>114.9</c:v>
                </c:pt>
                <c:pt idx="8">
                  <c:v>178.56</c:v>
                </c:pt>
                <c:pt idx="9">
                  <c:v>499.57</c:v>
                </c:pt>
                <c:pt idx="10">
                  <c:v>340.80999999999995</c:v>
                </c:pt>
                <c:pt idx="11">
                  <c:v>238.26000000000002</c:v>
                </c:pt>
                <c:pt idx="12">
                  <c:v>96.92</c:v>
                </c:pt>
              </c:numCache>
            </c:numRef>
          </c:val>
          <c:extLst>
            <c:ext xmlns:c16="http://schemas.microsoft.com/office/drawing/2014/chart" uri="{C3380CC4-5D6E-409C-BE32-E72D297353CC}">
              <c16:uniqueId val="{00000000-AB4A-4329-9A1B-2B21FBBA1637}"/>
            </c:ext>
          </c:extLst>
        </c:ser>
        <c:ser>
          <c:idx val="1"/>
          <c:order val="1"/>
          <c:tx>
            <c:strRef>
              <c:f>'Executive Summary'!$C$3:$C$5</c:f>
              <c:strCache>
                <c:ptCount val="1"/>
                <c:pt idx="0">
                  <c:v>Sum of Utilization_Rate(%) - CT Scanner</c:v>
                </c:pt>
              </c:strCache>
            </c:strRef>
          </c:tx>
          <c:spPr>
            <a:solidFill>
              <a:schemeClr val="accent2"/>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Summary'!$C$6:$C$24</c:f>
              <c:numCache>
                <c:formatCode>General</c:formatCode>
                <c:ptCount val="18"/>
                <c:pt idx="0">
                  <c:v>315.59000000000003</c:v>
                </c:pt>
                <c:pt idx="1">
                  <c:v>369.75</c:v>
                </c:pt>
                <c:pt idx="8">
                  <c:v>404.2</c:v>
                </c:pt>
                <c:pt idx="9">
                  <c:v>264.05999999999995</c:v>
                </c:pt>
                <c:pt idx="10">
                  <c:v>302.97000000000003</c:v>
                </c:pt>
                <c:pt idx="11">
                  <c:v>152.41</c:v>
                </c:pt>
                <c:pt idx="12">
                  <c:v>196.67000000000002</c:v>
                </c:pt>
              </c:numCache>
            </c:numRef>
          </c:val>
          <c:extLst>
            <c:ext xmlns:c16="http://schemas.microsoft.com/office/drawing/2014/chart" uri="{C3380CC4-5D6E-409C-BE32-E72D297353CC}">
              <c16:uniqueId val="{00000001-AB4A-4329-9A1B-2B21FBBA1637}"/>
            </c:ext>
          </c:extLst>
        </c:ser>
        <c:ser>
          <c:idx val="2"/>
          <c:order val="2"/>
          <c:tx>
            <c:strRef>
              <c:f>'Executive Summary'!$D$3:$D$5</c:f>
              <c:strCache>
                <c:ptCount val="1"/>
                <c:pt idx="0">
                  <c:v>Sum of Utilization_Rate(%) - Defibrillator</c:v>
                </c:pt>
              </c:strCache>
            </c:strRef>
          </c:tx>
          <c:spPr>
            <a:solidFill>
              <a:schemeClr val="accent3"/>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Summary'!$D$6:$D$24</c:f>
              <c:numCache>
                <c:formatCode>General</c:formatCode>
                <c:ptCount val="18"/>
                <c:pt idx="0">
                  <c:v>259.20999999999998</c:v>
                </c:pt>
                <c:pt idx="1">
                  <c:v>149.38</c:v>
                </c:pt>
                <c:pt idx="8">
                  <c:v>88.39</c:v>
                </c:pt>
                <c:pt idx="9">
                  <c:v>296.95</c:v>
                </c:pt>
                <c:pt idx="10">
                  <c:v>588.69000000000005</c:v>
                </c:pt>
                <c:pt idx="11">
                  <c:v>172.35000000000002</c:v>
                </c:pt>
                <c:pt idx="12">
                  <c:v>81.48</c:v>
                </c:pt>
              </c:numCache>
            </c:numRef>
          </c:val>
          <c:extLst>
            <c:ext xmlns:c16="http://schemas.microsoft.com/office/drawing/2014/chart" uri="{C3380CC4-5D6E-409C-BE32-E72D297353CC}">
              <c16:uniqueId val="{00000002-AB4A-4329-9A1B-2B21FBBA1637}"/>
            </c:ext>
          </c:extLst>
        </c:ser>
        <c:ser>
          <c:idx val="3"/>
          <c:order val="3"/>
          <c:tx>
            <c:strRef>
              <c:f>'Executive Summary'!$E$3:$E$5</c:f>
              <c:strCache>
                <c:ptCount val="1"/>
                <c:pt idx="0">
                  <c:v>Sum of Utilization_Rate(%) - Dialysis Machine</c:v>
                </c:pt>
              </c:strCache>
            </c:strRef>
          </c:tx>
          <c:spPr>
            <a:solidFill>
              <a:schemeClr val="accent4"/>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Summary'!$E$6:$E$24</c:f>
              <c:numCache>
                <c:formatCode>General</c:formatCode>
                <c:ptCount val="18"/>
                <c:pt idx="0">
                  <c:v>439.34999999999997</c:v>
                </c:pt>
                <c:pt idx="1">
                  <c:v>201.82</c:v>
                </c:pt>
                <c:pt idx="8">
                  <c:v>273.64</c:v>
                </c:pt>
                <c:pt idx="10">
                  <c:v>119.38</c:v>
                </c:pt>
                <c:pt idx="11">
                  <c:v>141.06</c:v>
                </c:pt>
                <c:pt idx="12">
                  <c:v>217.95</c:v>
                </c:pt>
              </c:numCache>
            </c:numRef>
          </c:val>
          <c:extLst>
            <c:ext xmlns:c16="http://schemas.microsoft.com/office/drawing/2014/chart" uri="{C3380CC4-5D6E-409C-BE32-E72D297353CC}">
              <c16:uniqueId val="{00000003-AB4A-4329-9A1B-2B21FBBA1637}"/>
            </c:ext>
          </c:extLst>
        </c:ser>
        <c:ser>
          <c:idx val="4"/>
          <c:order val="4"/>
          <c:tx>
            <c:strRef>
              <c:f>'Executive Summary'!$F$3:$F$5</c:f>
              <c:strCache>
                <c:ptCount val="1"/>
                <c:pt idx="0">
                  <c:v>Sum of Utilization_Rate(%) - ECG Machine</c:v>
                </c:pt>
              </c:strCache>
            </c:strRef>
          </c:tx>
          <c:spPr>
            <a:solidFill>
              <a:schemeClr val="accent5"/>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Summary'!$F$6:$F$24</c:f>
              <c:numCache>
                <c:formatCode>General</c:formatCode>
                <c:ptCount val="18"/>
                <c:pt idx="0">
                  <c:v>385.86999999999995</c:v>
                </c:pt>
                <c:pt idx="1">
                  <c:v>94.64</c:v>
                </c:pt>
                <c:pt idx="8">
                  <c:v>206.62</c:v>
                </c:pt>
                <c:pt idx="9">
                  <c:v>293.21999999999997</c:v>
                </c:pt>
                <c:pt idx="10">
                  <c:v>244.26</c:v>
                </c:pt>
                <c:pt idx="11">
                  <c:v>158.76</c:v>
                </c:pt>
                <c:pt idx="12">
                  <c:v>164.13</c:v>
                </c:pt>
              </c:numCache>
            </c:numRef>
          </c:val>
          <c:extLst>
            <c:ext xmlns:c16="http://schemas.microsoft.com/office/drawing/2014/chart" uri="{C3380CC4-5D6E-409C-BE32-E72D297353CC}">
              <c16:uniqueId val="{00000004-AB4A-4329-9A1B-2B21FBBA1637}"/>
            </c:ext>
          </c:extLst>
        </c:ser>
        <c:ser>
          <c:idx val="5"/>
          <c:order val="5"/>
          <c:tx>
            <c:strRef>
              <c:f>'Executive Summary'!$G$3:$G$5</c:f>
              <c:strCache>
                <c:ptCount val="1"/>
                <c:pt idx="0">
                  <c:v>Sum of Utilization_Rate(%) - Infusion Pump</c:v>
                </c:pt>
              </c:strCache>
            </c:strRef>
          </c:tx>
          <c:spPr>
            <a:solidFill>
              <a:schemeClr val="accent6"/>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Summary'!$G$6:$G$24</c:f>
              <c:numCache>
                <c:formatCode>General</c:formatCode>
                <c:ptCount val="18"/>
                <c:pt idx="0">
                  <c:v>150.30000000000001</c:v>
                </c:pt>
                <c:pt idx="1">
                  <c:v>136.74</c:v>
                </c:pt>
                <c:pt idx="8">
                  <c:v>132.59</c:v>
                </c:pt>
                <c:pt idx="9">
                  <c:v>274.8</c:v>
                </c:pt>
                <c:pt idx="10">
                  <c:v>234.66</c:v>
                </c:pt>
                <c:pt idx="11">
                  <c:v>377.53999999999996</c:v>
                </c:pt>
                <c:pt idx="12">
                  <c:v>589.18000000000006</c:v>
                </c:pt>
              </c:numCache>
            </c:numRef>
          </c:val>
          <c:extLst>
            <c:ext xmlns:c16="http://schemas.microsoft.com/office/drawing/2014/chart" uri="{C3380CC4-5D6E-409C-BE32-E72D297353CC}">
              <c16:uniqueId val="{00000005-AB4A-4329-9A1B-2B21FBBA1637}"/>
            </c:ext>
          </c:extLst>
        </c:ser>
        <c:ser>
          <c:idx val="6"/>
          <c:order val="6"/>
          <c:tx>
            <c:strRef>
              <c:f>'Executive Summary'!$H$3:$H$5</c:f>
              <c:strCache>
                <c:ptCount val="1"/>
                <c:pt idx="0">
                  <c:v>Sum of Utilization_Rate(%) - MRI Scanner</c:v>
                </c:pt>
              </c:strCache>
            </c:strRef>
          </c:tx>
          <c:spPr>
            <a:solidFill>
              <a:schemeClr val="accent1">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Summary'!$H$6:$H$24</c:f>
              <c:numCache>
                <c:formatCode>General</c:formatCode>
                <c:ptCount val="18"/>
                <c:pt idx="0">
                  <c:v>220.46</c:v>
                </c:pt>
                <c:pt idx="1">
                  <c:v>167.05</c:v>
                </c:pt>
                <c:pt idx="8">
                  <c:v>151.01</c:v>
                </c:pt>
                <c:pt idx="9">
                  <c:v>246.55</c:v>
                </c:pt>
                <c:pt idx="10">
                  <c:v>237.73000000000002</c:v>
                </c:pt>
                <c:pt idx="11">
                  <c:v>409.38</c:v>
                </c:pt>
                <c:pt idx="12">
                  <c:v>253.56</c:v>
                </c:pt>
              </c:numCache>
            </c:numRef>
          </c:val>
          <c:extLst>
            <c:ext xmlns:c16="http://schemas.microsoft.com/office/drawing/2014/chart" uri="{C3380CC4-5D6E-409C-BE32-E72D297353CC}">
              <c16:uniqueId val="{00000006-AB4A-4329-9A1B-2B21FBBA1637}"/>
            </c:ext>
          </c:extLst>
        </c:ser>
        <c:ser>
          <c:idx val="7"/>
          <c:order val="7"/>
          <c:tx>
            <c:strRef>
              <c:f>'Executive Summary'!$I$3:$I$5</c:f>
              <c:strCache>
                <c:ptCount val="1"/>
                <c:pt idx="0">
                  <c:v>Sum of Utilization_Rate(%) - Patient Monitor</c:v>
                </c:pt>
              </c:strCache>
            </c:strRef>
          </c:tx>
          <c:spPr>
            <a:solidFill>
              <a:schemeClr val="accent2">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Summary'!$I$6:$I$24</c:f>
              <c:numCache>
                <c:formatCode>General</c:formatCode>
                <c:ptCount val="18"/>
                <c:pt idx="0">
                  <c:v>200.10000000000002</c:v>
                </c:pt>
                <c:pt idx="1">
                  <c:v>289.32</c:v>
                </c:pt>
                <c:pt idx="8">
                  <c:v>92.73</c:v>
                </c:pt>
                <c:pt idx="9">
                  <c:v>470.11999999999995</c:v>
                </c:pt>
                <c:pt idx="10">
                  <c:v>116.22</c:v>
                </c:pt>
                <c:pt idx="11">
                  <c:v>310.39</c:v>
                </c:pt>
                <c:pt idx="12">
                  <c:v>167.29000000000002</c:v>
                </c:pt>
              </c:numCache>
            </c:numRef>
          </c:val>
          <c:extLst>
            <c:ext xmlns:c16="http://schemas.microsoft.com/office/drawing/2014/chart" uri="{C3380CC4-5D6E-409C-BE32-E72D297353CC}">
              <c16:uniqueId val="{00000007-AB4A-4329-9A1B-2B21FBBA1637}"/>
            </c:ext>
          </c:extLst>
        </c:ser>
        <c:ser>
          <c:idx val="8"/>
          <c:order val="8"/>
          <c:tx>
            <c:strRef>
              <c:f>'Executive Summary'!$J$3:$J$5</c:f>
              <c:strCache>
                <c:ptCount val="1"/>
                <c:pt idx="0">
                  <c:v>Sum of Utilization_Rate(%) - Surgical Robot</c:v>
                </c:pt>
              </c:strCache>
            </c:strRef>
          </c:tx>
          <c:spPr>
            <a:solidFill>
              <a:schemeClr val="accent3">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Summary'!$J$6:$J$24</c:f>
              <c:numCache>
                <c:formatCode>General</c:formatCode>
                <c:ptCount val="18"/>
                <c:pt idx="0">
                  <c:v>334.76</c:v>
                </c:pt>
                <c:pt idx="1">
                  <c:v>450.46000000000004</c:v>
                </c:pt>
                <c:pt idx="8">
                  <c:v>155.64999999999998</c:v>
                </c:pt>
                <c:pt idx="9">
                  <c:v>561.29999999999995</c:v>
                </c:pt>
                <c:pt idx="10">
                  <c:v>521.65000000000009</c:v>
                </c:pt>
                <c:pt idx="11">
                  <c:v>124.99000000000001</c:v>
                </c:pt>
                <c:pt idx="12">
                  <c:v>250.41</c:v>
                </c:pt>
              </c:numCache>
            </c:numRef>
          </c:val>
          <c:extLst>
            <c:ext xmlns:c16="http://schemas.microsoft.com/office/drawing/2014/chart" uri="{C3380CC4-5D6E-409C-BE32-E72D297353CC}">
              <c16:uniqueId val="{00000008-AB4A-4329-9A1B-2B21FBBA1637}"/>
            </c:ext>
          </c:extLst>
        </c:ser>
        <c:ser>
          <c:idx val="9"/>
          <c:order val="9"/>
          <c:tx>
            <c:strRef>
              <c:f>'Executive Summary'!$K$3:$K$5</c:f>
              <c:strCache>
                <c:ptCount val="1"/>
                <c:pt idx="0">
                  <c:v>Sum of Utilization_Rate(%) - Ultrasound Machine</c:v>
                </c:pt>
              </c:strCache>
            </c:strRef>
          </c:tx>
          <c:spPr>
            <a:solidFill>
              <a:schemeClr val="accent4">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Summary'!$K$6:$K$24</c:f>
              <c:numCache>
                <c:formatCode>General</c:formatCode>
                <c:ptCount val="18"/>
                <c:pt idx="0">
                  <c:v>66.38</c:v>
                </c:pt>
                <c:pt idx="1">
                  <c:v>336.38</c:v>
                </c:pt>
                <c:pt idx="8">
                  <c:v>239.32</c:v>
                </c:pt>
                <c:pt idx="9">
                  <c:v>218.14</c:v>
                </c:pt>
                <c:pt idx="10">
                  <c:v>195.8</c:v>
                </c:pt>
                <c:pt idx="11">
                  <c:v>79.41</c:v>
                </c:pt>
                <c:pt idx="12">
                  <c:v>248.79999999999998</c:v>
                </c:pt>
              </c:numCache>
            </c:numRef>
          </c:val>
          <c:extLst>
            <c:ext xmlns:c16="http://schemas.microsoft.com/office/drawing/2014/chart" uri="{C3380CC4-5D6E-409C-BE32-E72D297353CC}">
              <c16:uniqueId val="{00000009-AB4A-4329-9A1B-2B21FBBA1637}"/>
            </c:ext>
          </c:extLst>
        </c:ser>
        <c:ser>
          <c:idx val="10"/>
          <c:order val="10"/>
          <c:tx>
            <c:strRef>
              <c:f>'Executive Summary'!$L$3:$L$5</c:f>
              <c:strCache>
                <c:ptCount val="1"/>
                <c:pt idx="0">
                  <c:v>Sum of Utilization_Rate(%) - Ventilator</c:v>
                </c:pt>
              </c:strCache>
            </c:strRef>
          </c:tx>
          <c:spPr>
            <a:solidFill>
              <a:schemeClr val="accent5">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Summary'!$L$6:$L$24</c:f>
              <c:numCache>
                <c:formatCode>General</c:formatCode>
                <c:ptCount val="18"/>
                <c:pt idx="0">
                  <c:v>83.05</c:v>
                </c:pt>
                <c:pt idx="1">
                  <c:v>364.29</c:v>
                </c:pt>
                <c:pt idx="8">
                  <c:v>219.35</c:v>
                </c:pt>
                <c:pt idx="9">
                  <c:v>152.65</c:v>
                </c:pt>
                <c:pt idx="10">
                  <c:v>218.70000000000002</c:v>
                </c:pt>
                <c:pt idx="11">
                  <c:v>148.91</c:v>
                </c:pt>
                <c:pt idx="12">
                  <c:v>135.76</c:v>
                </c:pt>
              </c:numCache>
            </c:numRef>
          </c:val>
          <c:extLst>
            <c:ext xmlns:c16="http://schemas.microsoft.com/office/drawing/2014/chart" uri="{C3380CC4-5D6E-409C-BE32-E72D297353CC}">
              <c16:uniqueId val="{0000000A-AB4A-4329-9A1B-2B21FBBA1637}"/>
            </c:ext>
          </c:extLst>
        </c:ser>
        <c:ser>
          <c:idx val="11"/>
          <c:order val="11"/>
          <c:tx>
            <c:strRef>
              <c:f>'Executive Summary'!$M$3:$M$5</c:f>
              <c:strCache>
                <c:ptCount val="1"/>
                <c:pt idx="0">
                  <c:v>Sum of Utilization_Rate(%) - X-Ray Machine</c:v>
                </c:pt>
              </c:strCache>
            </c:strRef>
          </c:tx>
          <c:spPr>
            <a:solidFill>
              <a:schemeClr val="accent6">
                <a:lumMod val="6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Summary'!$M$6:$M$24</c:f>
              <c:numCache>
                <c:formatCode>General</c:formatCode>
                <c:ptCount val="18"/>
                <c:pt idx="0">
                  <c:v>236.68</c:v>
                </c:pt>
                <c:pt idx="1">
                  <c:v>136.35</c:v>
                </c:pt>
                <c:pt idx="8">
                  <c:v>368.09999999999997</c:v>
                </c:pt>
                <c:pt idx="9">
                  <c:v>477.10999999999996</c:v>
                </c:pt>
                <c:pt idx="10">
                  <c:v>626.25</c:v>
                </c:pt>
                <c:pt idx="11">
                  <c:v>244.33999999999997</c:v>
                </c:pt>
                <c:pt idx="12">
                  <c:v>204.83999999999997</c:v>
                </c:pt>
              </c:numCache>
            </c:numRef>
          </c:val>
          <c:extLst>
            <c:ext xmlns:c16="http://schemas.microsoft.com/office/drawing/2014/chart" uri="{C3380CC4-5D6E-409C-BE32-E72D297353CC}">
              <c16:uniqueId val="{0000000B-AB4A-4329-9A1B-2B21FBBA1637}"/>
            </c:ext>
          </c:extLst>
        </c:ser>
        <c:ser>
          <c:idx val="12"/>
          <c:order val="12"/>
          <c:tx>
            <c:strRef>
              <c:f>'Executive Summary'!$N$3:$N$5</c:f>
              <c:strCache>
                <c:ptCount val="1"/>
                <c:pt idx="0">
                  <c:v>Sum of Downtime_Rate(%) - Anesthesia Machine</c:v>
                </c:pt>
              </c:strCache>
            </c:strRef>
          </c:tx>
          <c:spPr>
            <a:solidFill>
              <a:schemeClr val="accent1">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Summary'!$N$6:$N$24</c:f>
              <c:numCache>
                <c:formatCode>General</c:formatCode>
                <c:ptCount val="18"/>
                <c:pt idx="0">
                  <c:v>72.23</c:v>
                </c:pt>
                <c:pt idx="1">
                  <c:v>63.71</c:v>
                </c:pt>
                <c:pt idx="8">
                  <c:v>13.04</c:v>
                </c:pt>
                <c:pt idx="9">
                  <c:v>75.009999999999991</c:v>
                </c:pt>
                <c:pt idx="10">
                  <c:v>129.99</c:v>
                </c:pt>
                <c:pt idx="11">
                  <c:v>43.14</c:v>
                </c:pt>
                <c:pt idx="12">
                  <c:v>0</c:v>
                </c:pt>
              </c:numCache>
            </c:numRef>
          </c:val>
          <c:extLst>
            <c:ext xmlns:c16="http://schemas.microsoft.com/office/drawing/2014/chart" uri="{C3380CC4-5D6E-409C-BE32-E72D297353CC}">
              <c16:uniqueId val="{0000000C-AB4A-4329-9A1B-2B21FBBA1637}"/>
            </c:ext>
          </c:extLst>
        </c:ser>
        <c:ser>
          <c:idx val="13"/>
          <c:order val="13"/>
          <c:tx>
            <c:strRef>
              <c:f>'Executive Summary'!$O$3:$O$5</c:f>
              <c:strCache>
                <c:ptCount val="1"/>
                <c:pt idx="0">
                  <c:v>Sum of Downtime_Rate(%) - CT Scanner</c:v>
                </c:pt>
              </c:strCache>
            </c:strRef>
          </c:tx>
          <c:spPr>
            <a:solidFill>
              <a:schemeClr val="accent2">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Summary'!$O$6:$O$24</c:f>
              <c:numCache>
                <c:formatCode>General</c:formatCode>
                <c:ptCount val="18"/>
                <c:pt idx="0">
                  <c:v>150.46</c:v>
                </c:pt>
                <c:pt idx="1">
                  <c:v>203.20999999999998</c:v>
                </c:pt>
                <c:pt idx="8">
                  <c:v>266.65000000000003</c:v>
                </c:pt>
                <c:pt idx="9">
                  <c:v>108.58</c:v>
                </c:pt>
                <c:pt idx="10">
                  <c:v>83.97</c:v>
                </c:pt>
                <c:pt idx="11">
                  <c:v>44.21</c:v>
                </c:pt>
                <c:pt idx="12">
                  <c:v>79.37</c:v>
                </c:pt>
              </c:numCache>
            </c:numRef>
          </c:val>
          <c:extLst>
            <c:ext xmlns:c16="http://schemas.microsoft.com/office/drawing/2014/chart" uri="{C3380CC4-5D6E-409C-BE32-E72D297353CC}">
              <c16:uniqueId val="{0000000D-AB4A-4329-9A1B-2B21FBBA1637}"/>
            </c:ext>
          </c:extLst>
        </c:ser>
        <c:ser>
          <c:idx val="14"/>
          <c:order val="14"/>
          <c:tx>
            <c:strRef>
              <c:f>'Executive Summary'!$P$3:$P$5</c:f>
              <c:strCache>
                <c:ptCount val="1"/>
                <c:pt idx="0">
                  <c:v>Sum of Downtime_Rate(%) - Defibrillator</c:v>
                </c:pt>
              </c:strCache>
            </c:strRef>
          </c:tx>
          <c:spPr>
            <a:solidFill>
              <a:schemeClr val="accent3">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Summary'!$P$6:$P$24</c:f>
              <c:numCache>
                <c:formatCode>General</c:formatCode>
                <c:ptCount val="18"/>
                <c:pt idx="0">
                  <c:v>128.43</c:v>
                </c:pt>
                <c:pt idx="1">
                  <c:v>40.25</c:v>
                </c:pt>
                <c:pt idx="8">
                  <c:v>8.93</c:v>
                </c:pt>
                <c:pt idx="9">
                  <c:v>78.899999999999991</c:v>
                </c:pt>
                <c:pt idx="10">
                  <c:v>68.63</c:v>
                </c:pt>
                <c:pt idx="11">
                  <c:v>25.71</c:v>
                </c:pt>
                <c:pt idx="12">
                  <c:v>13.89</c:v>
                </c:pt>
              </c:numCache>
            </c:numRef>
          </c:val>
          <c:extLst>
            <c:ext xmlns:c16="http://schemas.microsoft.com/office/drawing/2014/chart" uri="{C3380CC4-5D6E-409C-BE32-E72D297353CC}">
              <c16:uniqueId val="{0000000E-AB4A-4329-9A1B-2B21FBBA1637}"/>
            </c:ext>
          </c:extLst>
        </c:ser>
        <c:ser>
          <c:idx val="15"/>
          <c:order val="15"/>
          <c:tx>
            <c:strRef>
              <c:f>'Executive Summary'!$Q$3:$Q$5</c:f>
              <c:strCache>
                <c:ptCount val="1"/>
                <c:pt idx="0">
                  <c:v>Sum of Downtime_Rate(%) - Dialysis Machine</c:v>
                </c:pt>
              </c:strCache>
            </c:strRef>
          </c:tx>
          <c:spPr>
            <a:solidFill>
              <a:schemeClr val="accent4">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Summary'!$Q$6:$Q$24</c:f>
              <c:numCache>
                <c:formatCode>General</c:formatCode>
                <c:ptCount val="18"/>
                <c:pt idx="0">
                  <c:v>34.89</c:v>
                </c:pt>
                <c:pt idx="1">
                  <c:v>76.989999999999995</c:v>
                </c:pt>
                <c:pt idx="8">
                  <c:v>113.41</c:v>
                </c:pt>
                <c:pt idx="10">
                  <c:v>59.86</c:v>
                </c:pt>
                <c:pt idx="11">
                  <c:v>50.870000000000005</c:v>
                </c:pt>
                <c:pt idx="12">
                  <c:v>74.760000000000005</c:v>
                </c:pt>
              </c:numCache>
            </c:numRef>
          </c:val>
          <c:extLst>
            <c:ext xmlns:c16="http://schemas.microsoft.com/office/drawing/2014/chart" uri="{C3380CC4-5D6E-409C-BE32-E72D297353CC}">
              <c16:uniqueId val="{0000000F-AB4A-4329-9A1B-2B21FBBA1637}"/>
            </c:ext>
          </c:extLst>
        </c:ser>
        <c:ser>
          <c:idx val="16"/>
          <c:order val="16"/>
          <c:tx>
            <c:strRef>
              <c:f>'Executive Summary'!$R$3:$R$5</c:f>
              <c:strCache>
                <c:ptCount val="1"/>
                <c:pt idx="0">
                  <c:v>Sum of Downtime_Rate(%) - ECG Machine</c:v>
                </c:pt>
              </c:strCache>
            </c:strRef>
          </c:tx>
          <c:spPr>
            <a:solidFill>
              <a:schemeClr val="accent5">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Summary'!$R$6:$R$24</c:f>
              <c:numCache>
                <c:formatCode>General</c:formatCode>
                <c:ptCount val="18"/>
                <c:pt idx="0">
                  <c:v>281.82</c:v>
                </c:pt>
                <c:pt idx="1">
                  <c:v>1.79</c:v>
                </c:pt>
                <c:pt idx="8">
                  <c:v>68.81</c:v>
                </c:pt>
                <c:pt idx="9">
                  <c:v>98.050000000000011</c:v>
                </c:pt>
                <c:pt idx="10">
                  <c:v>132.02000000000001</c:v>
                </c:pt>
                <c:pt idx="11">
                  <c:v>31.17</c:v>
                </c:pt>
                <c:pt idx="12">
                  <c:v>29.619999999999997</c:v>
                </c:pt>
              </c:numCache>
            </c:numRef>
          </c:val>
          <c:extLst>
            <c:ext xmlns:c16="http://schemas.microsoft.com/office/drawing/2014/chart" uri="{C3380CC4-5D6E-409C-BE32-E72D297353CC}">
              <c16:uniqueId val="{00000010-AB4A-4329-9A1B-2B21FBBA1637}"/>
            </c:ext>
          </c:extLst>
        </c:ser>
        <c:ser>
          <c:idx val="17"/>
          <c:order val="17"/>
          <c:tx>
            <c:strRef>
              <c:f>'Executive Summary'!$S$3:$S$5</c:f>
              <c:strCache>
                <c:ptCount val="1"/>
                <c:pt idx="0">
                  <c:v>Sum of Downtime_Rate(%) - Infusion Pump</c:v>
                </c:pt>
              </c:strCache>
            </c:strRef>
          </c:tx>
          <c:spPr>
            <a:solidFill>
              <a:schemeClr val="accent6">
                <a:lumMod val="80000"/>
                <a:lumOff val="2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Summary'!$S$6:$S$24</c:f>
              <c:numCache>
                <c:formatCode>General</c:formatCode>
                <c:ptCount val="18"/>
                <c:pt idx="0">
                  <c:v>42.15</c:v>
                </c:pt>
                <c:pt idx="1">
                  <c:v>47.75</c:v>
                </c:pt>
                <c:pt idx="8">
                  <c:v>56.730000000000004</c:v>
                </c:pt>
                <c:pt idx="9">
                  <c:v>96.54</c:v>
                </c:pt>
                <c:pt idx="10">
                  <c:v>44.730000000000004</c:v>
                </c:pt>
                <c:pt idx="11">
                  <c:v>97.98</c:v>
                </c:pt>
                <c:pt idx="12">
                  <c:v>276.04000000000002</c:v>
                </c:pt>
              </c:numCache>
            </c:numRef>
          </c:val>
          <c:extLst>
            <c:ext xmlns:c16="http://schemas.microsoft.com/office/drawing/2014/chart" uri="{C3380CC4-5D6E-409C-BE32-E72D297353CC}">
              <c16:uniqueId val="{00000011-AB4A-4329-9A1B-2B21FBBA1637}"/>
            </c:ext>
          </c:extLst>
        </c:ser>
        <c:ser>
          <c:idx val="18"/>
          <c:order val="18"/>
          <c:tx>
            <c:strRef>
              <c:f>'Executive Summary'!$T$3:$T$5</c:f>
              <c:strCache>
                <c:ptCount val="1"/>
                <c:pt idx="0">
                  <c:v>Sum of Downtime_Rate(%) - MRI Scanner</c:v>
                </c:pt>
              </c:strCache>
            </c:strRef>
          </c:tx>
          <c:spPr>
            <a:solidFill>
              <a:schemeClr val="accent1">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Summary'!$T$6:$T$24</c:f>
              <c:numCache>
                <c:formatCode>General</c:formatCode>
                <c:ptCount val="18"/>
                <c:pt idx="0">
                  <c:v>62.550000000000004</c:v>
                </c:pt>
                <c:pt idx="1">
                  <c:v>114.21000000000001</c:v>
                </c:pt>
                <c:pt idx="8">
                  <c:v>30.87</c:v>
                </c:pt>
                <c:pt idx="9">
                  <c:v>135.01</c:v>
                </c:pt>
                <c:pt idx="10">
                  <c:v>51.84</c:v>
                </c:pt>
                <c:pt idx="11">
                  <c:v>160.01</c:v>
                </c:pt>
                <c:pt idx="12">
                  <c:v>130.59</c:v>
                </c:pt>
              </c:numCache>
            </c:numRef>
          </c:val>
          <c:extLst>
            <c:ext xmlns:c16="http://schemas.microsoft.com/office/drawing/2014/chart" uri="{C3380CC4-5D6E-409C-BE32-E72D297353CC}">
              <c16:uniqueId val="{00000012-AB4A-4329-9A1B-2B21FBBA1637}"/>
            </c:ext>
          </c:extLst>
        </c:ser>
        <c:ser>
          <c:idx val="19"/>
          <c:order val="19"/>
          <c:tx>
            <c:strRef>
              <c:f>'Executive Summary'!$U$3:$U$5</c:f>
              <c:strCache>
                <c:ptCount val="1"/>
                <c:pt idx="0">
                  <c:v>Sum of Downtime_Rate(%) - Patient Monitor</c:v>
                </c:pt>
              </c:strCache>
            </c:strRef>
          </c:tx>
          <c:spPr>
            <a:solidFill>
              <a:schemeClr val="accent2">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Summary'!$U$6:$U$24</c:f>
              <c:numCache>
                <c:formatCode>General</c:formatCode>
                <c:ptCount val="18"/>
                <c:pt idx="0">
                  <c:v>78.37</c:v>
                </c:pt>
                <c:pt idx="1">
                  <c:v>92.72999999999999</c:v>
                </c:pt>
                <c:pt idx="8">
                  <c:v>7.27</c:v>
                </c:pt>
                <c:pt idx="9">
                  <c:v>203.83999999999997</c:v>
                </c:pt>
                <c:pt idx="10">
                  <c:v>68.33</c:v>
                </c:pt>
                <c:pt idx="11">
                  <c:v>155.30000000000001</c:v>
                </c:pt>
                <c:pt idx="12">
                  <c:v>18.829999999999998</c:v>
                </c:pt>
              </c:numCache>
            </c:numRef>
          </c:val>
          <c:extLst>
            <c:ext xmlns:c16="http://schemas.microsoft.com/office/drawing/2014/chart" uri="{C3380CC4-5D6E-409C-BE32-E72D297353CC}">
              <c16:uniqueId val="{00000013-AB4A-4329-9A1B-2B21FBBA1637}"/>
            </c:ext>
          </c:extLst>
        </c:ser>
        <c:ser>
          <c:idx val="20"/>
          <c:order val="20"/>
          <c:tx>
            <c:strRef>
              <c:f>'Executive Summary'!$V$3:$V$5</c:f>
              <c:strCache>
                <c:ptCount val="1"/>
                <c:pt idx="0">
                  <c:v>Sum of Downtime_Rate(%) - Surgical Robot</c:v>
                </c:pt>
              </c:strCache>
            </c:strRef>
          </c:tx>
          <c:spPr>
            <a:solidFill>
              <a:schemeClr val="accent3">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Summary'!$V$6:$V$24</c:f>
              <c:numCache>
                <c:formatCode>General</c:formatCode>
                <c:ptCount val="18"/>
                <c:pt idx="0">
                  <c:v>146.17000000000002</c:v>
                </c:pt>
                <c:pt idx="1">
                  <c:v>128.59</c:v>
                </c:pt>
                <c:pt idx="8">
                  <c:v>131.07999999999998</c:v>
                </c:pt>
                <c:pt idx="9">
                  <c:v>209.78000000000003</c:v>
                </c:pt>
                <c:pt idx="10">
                  <c:v>337.52000000000004</c:v>
                </c:pt>
                <c:pt idx="11">
                  <c:v>65.78</c:v>
                </c:pt>
                <c:pt idx="12">
                  <c:v>37.33</c:v>
                </c:pt>
              </c:numCache>
            </c:numRef>
          </c:val>
          <c:extLst>
            <c:ext xmlns:c16="http://schemas.microsoft.com/office/drawing/2014/chart" uri="{C3380CC4-5D6E-409C-BE32-E72D297353CC}">
              <c16:uniqueId val="{00000014-AB4A-4329-9A1B-2B21FBBA1637}"/>
            </c:ext>
          </c:extLst>
        </c:ser>
        <c:ser>
          <c:idx val="21"/>
          <c:order val="21"/>
          <c:tx>
            <c:strRef>
              <c:f>'Executive Summary'!$W$3:$W$5</c:f>
              <c:strCache>
                <c:ptCount val="1"/>
                <c:pt idx="0">
                  <c:v>Sum of Downtime_Rate(%) - Ultrasound Machine</c:v>
                </c:pt>
              </c:strCache>
            </c:strRef>
          </c:tx>
          <c:spPr>
            <a:solidFill>
              <a:schemeClr val="accent4">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Summary'!$W$6:$W$24</c:f>
              <c:numCache>
                <c:formatCode>General</c:formatCode>
                <c:ptCount val="18"/>
                <c:pt idx="0">
                  <c:v>27.59</c:v>
                </c:pt>
                <c:pt idx="1">
                  <c:v>132.52000000000001</c:v>
                </c:pt>
                <c:pt idx="8">
                  <c:v>43.74</c:v>
                </c:pt>
                <c:pt idx="9">
                  <c:v>151.29</c:v>
                </c:pt>
                <c:pt idx="10">
                  <c:v>95.99</c:v>
                </c:pt>
                <c:pt idx="11">
                  <c:v>11.76</c:v>
                </c:pt>
                <c:pt idx="12">
                  <c:v>128.59</c:v>
                </c:pt>
              </c:numCache>
            </c:numRef>
          </c:val>
          <c:extLst>
            <c:ext xmlns:c16="http://schemas.microsoft.com/office/drawing/2014/chart" uri="{C3380CC4-5D6E-409C-BE32-E72D297353CC}">
              <c16:uniqueId val="{00000015-AB4A-4329-9A1B-2B21FBBA1637}"/>
            </c:ext>
          </c:extLst>
        </c:ser>
        <c:ser>
          <c:idx val="22"/>
          <c:order val="22"/>
          <c:tx>
            <c:strRef>
              <c:f>'Executive Summary'!$X$3:$X$5</c:f>
              <c:strCache>
                <c:ptCount val="1"/>
                <c:pt idx="0">
                  <c:v>Sum of Downtime_Rate(%) - Ventilator</c:v>
                </c:pt>
              </c:strCache>
            </c:strRef>
          </c:tx>
          <c:spPr>
            <a:solidFill>
              <a:schemeClr val="accent5">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Summary'!$X$6:$X$24</c:f>
              <c:numCache>
                <c:formatCode>General</c:formatCode>
                <c:ptCount val="18"/>
                <c:pt idx="0">
                  <c:v>10.17</c:v>
                </c:pt>
                <c:pt idx="1">
                  <c:v>104.53999999999999</c:v>
                </c:pt>
                <c:pt idx="8">
                  <c:v>67.349999999999994</c:v>
                </c:pt>
                <c:pt idx="9">
                  <c:v>42.120000000000005</c:v>
                </c:pt>
                <c:pt idx="10">
                  <c:v>155.25</c:v>
                </c:pt>
                <c:pt idx="11">
                  <c:v>43.89</c:v>
                </c:pt>
                <c:pt idx="12">
                  <c:v>54.55</c:v>
                </c:pt>
              </c:numCache>
            </c:numRef>
          </c:val>
          <c:extLst>
            <c:ext xmlns:c16="http://schemas.microsoft.com/office/drawing/2014/chart" uri="{C3380CC4-5D6E-409C-BE32-E72D297353CC}">
              <c16:uniqueId val="{00000016-AB4A-4329-9A1B-2B21FBBA1637}"/>
            </c:ext>
          </c:extLst>
        </c:ser>
        <c:ser>
          <c:idx val="23"/>
          <c:order val="23"/>
          <c:tx>
            <c:strRef>
              <c:f>'Executive Summary'!$Y$3:$Y$5</c:f>
              <c:strCache>
                <c:ptCount val="1"/>
                <c:pt idx="0">
                  <c:v>Sum of Downtime_Rate(%) - X-Ray Machine</c:v>
                </c:pt>
              </c:strCache>
            </c:strRef>
          </c:tx>
          <c:spPr>
            <a:solidFill>
              <a:schemeClr val="accent6">
                <a:lumMod val="8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Summary'!$Y$6:$Y$24</c:f>
              <c:numCache>
                <c:formatCode>General</c:formatCode>
                <c:ptCount val="18"/>
                <c:pt idx="0">
                  <c:v>152.43</c:v>
                </c:pt>
                <c:pt idx="1">
                  <c:v>52.25</c:v>
                </c:pt>
                <c:pt idx="8">
                  <c:v>87.85</c:v>
                </c:pt>
                <c:pt idx="9">
                  <c:v>184.04999999999998</c:v>
                </c:pt>
                <c:pt idx="10">
                  <c:v>226.23000000000002</c:v>
                </c:pt>
                <c:pt idx="11">
                  <c:v>39.39</c:v>
                </c:pt>
                <c:pt idx="12">
                  <c:v>70.949999999999989</c:v>
                </c:pt>
              </c:numCache>
            </c:numRef>
          </c:val>
          <c:extLst>
            <c:ext xmlns:c16="http://schemas.microsoft.com/office/drawing/2014/chart" uri="{C3380CC4-5D6E-409C-BE32-E72D297353CC}">
              <c16:uniqueId val="{00000017-AB4A-4329-9A1B-2B21FBBA1637}"/>
            </c:ext>
          </c:extLst>
        </c:ser>
        <c:ser>
          <c:idx val="24"/>
          <c:order val="24"/>
          <c:tx>
            <c:strRef>
              <c:f>'Executive Summary'!$Z$3:$Z$5</c:f>
              <c:strCache>
                <c:ptCount val="1"/>
                <c:pt idx="0">
                  <c:v>Sum of Efficiency_Gap - Anesthesia Machine</c:v>
                </c:pt>
              </c:strCache>
            </c:strRef>
          </c:tx>
          <c:spPr>
            <a:solidFill>
              <a:schemeClr val="accent1">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Summary'!$Z$6:$Z$24</c:f>
              <c:numCache>
                <c:formatCode>General</c:formatCode>
                <c:ptCount val="18"/>
                <c:pt idx="0">
                  <c:v>9.1</c:v>
                </c:pt>
                <c:pt idx="1">
                  <c:v>5.1999999999999993</c:v>
                </c:pt>
                <c:pt idx="8">
                  <c:v>2</c:v>
                </c:pt>
                <c:pt idx="9">
                  <c:v>9.5</c:v>
                </c:pt>
                <c:pt idx="10">
                  <c:v>12.6</c:v>
                </c:pt>
                <c:pt idx="11">
                  <c:v>4</c:v>
                </c:pt>
                <c:pt idx="12">
                  <c:v>0.2</c:v>
                </c:pt>
              </c:numCache>
            </c:numRef>
          </c:val>
          <c:extLst>
            <c:ext xmlns:c16="http://schemas.microsoft.com/office/drawing/2014/chart" uri="{C3380CC4-5D6E-409C-BE32-E72D297353CC}">
              <c16:uniqueId val="{00000018-AB4A-4329-9A1B-2B21FBBA1637}"/>
            </c:ext>
          </c:extLst>
        </c:ser>
        <c:ser>
          <c:idx val="25"/>
          <c:order val="25"/>
          <c:tx>
            <c:strRef>
              <c:f>'Executive Summary'!$AA$3:$AA$5</c:f>
              <c:strCache>
                <c:ptCount val="1"/>
                <c:pt idx="0">
                  <c:v>Sum of Efficiency_Gap - CT Scanner</c:v>
                </c:pt>
              </c:strCache>
            </c:strRef>
          </c:tx>
          <c:spPr>
            <a:solidFill>
              <a:schemeClr val="accent2">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Summary'!$AA$6:$AA$24</c:f>
              <c:numCache>
                <c:formatCode>General</c:formatCode>
                <c:ptCount val="18"/>
                <c:pt idx="0">
                  <c:v>16.099999999999998</c:v>
                </c:pt>
                <c:pt idx="1">
                  <c:v>21.3</c:v>
                </c:pt>
                <c:pt idx="8">
                  <c:v>25.400000000000002</c:v>
                </c:pt>
                <c:pt idx="9">
                  <c:v>11.9</c:v>
                </c:pt>
                <c:pt idx="10">
                  <c:v>6.6000000000000005</c:v>
                </c:pt>
                <c:pt idx="11">
                  <c:v>4.5</c:v>
                </c:pt>
                <c:pt idx="12">
                  <c:v>9.5</c:v>
                </c:pt>
              </c:numCache>
            </c:numRef>
          </c:val>
          <c:extLst>
            <c:ext xmlns:c16="http://schemas.microsoft.com/office/drawing/2014/chart" uri="{C3380CC4-5D6E-409C-BE32-E72D297353CC}">
              <c16:uniqueId val="{00000019-AB4A-4329-9A1B-2B21FBBA1637}"/>
            </c:ext>
          </c:extLst>
        </c:ser>
        <c:ser>
          <c:idx val="26"/>
          <c:order val="26"/>
          <c:tx>
            <c:strRef>
              <c:f>'Executive Summary'!$AB$3:$AB$5</c:f>
              <c:strCache>
                <c:ptCount val="1"/>
                <c:pt idx="0">
                  <c:v>Sum of Efficiency_Gap - Defibrillator</c:v>
                </c:pt>
              </c:strCache>
            </c:strRef>
          </c:tx>
          <c:spPr>
            <a:solidFill>
              <a:schemeClr val="accent3">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Summary'!$AB$6:$AB$24</c:f>
              <c:numCache>
                <c:formatCode>General</c:formatCode>
                <c:ptCount val="18"/>
                <c:pt idx="0">
                  <c:v>12.3</c:v>
                </c:pt>
                <c:pt idx="1">
                  <c:v>4.0999999999999996</c:v>
                </c:pt>
                <c:pt idx="8">
                  <c:v>1.3</c:v>
                </c:pt>
                <c:pt idx="9">
                  <c:v>10.199999999999999</c:v>
                </c:pt>
                <c:pt idx="10">
                  <c:v>10.1</c:v>
                </c:pt>
                <c:pt idx="11">
                  <c:v>2.9000000000000004</c:v>
                </c:pt>
                <c:pt idx="12">
                  <c:v>2</c:v>
                </c:pt>
              </c:numCache>
            </c:numRef>
          </c:val>
          <c:extLst>
            <c:ext xmlns:c16="http://schemas.microsoft.com/office/drawing/2014/chart" uri="{C3380CC4-5D6E-409C-BE32-E72D297353CC}">
              <c16:uniqueId val="{0000001A-AB4A-4329-9A1B-2B21FBBA1637}"/>
            </c:ext>
          </c:extLst>
        </c:ser>
        <c:ser>
          <c:idx val="27"/>
          <c:order val="27"/>
          <c:tx>
            <c:strRef>
              <c:f>'Executive Summary'!$AC$3:$AC$5</c:f>
              <c:strCache>
                <c:ptCount val="1"/>
                <c:pt idx="0">
                  <c:v>Sum of Efficiency_Gap - Dialysis Machine</c:v>
                </c:pt>
              </c:strCache>
            </c:strRef>
          </c:tx>
          <c:spPr>
            <a:solidFill>
              <a:schemeClr val="accent4">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Summary'!$AC$6:$AC$24</c:f>
              <c:numCache>
                <c:formatCode>General</c:formatCode>
                <c:ptCount val="18"/>
                <c:pt idx="0">
                  <c:v>5.0000000000000009</c:v>
                </c:pt>
                <c:pt idx="1">
                  <c:v>9.6999999999999993</c:v>
                </c:pt>
                <c:pt idx="8">
                  <c:v>11.3</c:v>
                </c:pt>
                <c:pt idx="10">
                  <c:v>6.8</c:v>
                </c:pt>
                <c:pt idx="11">
                  <c:v>5.0999999999999996</c:v>
                </c:pt>
                <c:pt idx="12">
                  <c:v>8.8999999999999986</c:v>
                </c:pt>
              </c:numCache>
            </c:numRef>
          </c:val>
          <c:extLst>
            <c:ext xmlns:c16="http://schemas.microsoft.com/office/drawing/2014/chart" uri="{C3380CC4-5D6E-409C-BE32-E72D297353CC}">
              <c16:uniqueId val="{0000001B-AB4A-4329-9A1B-2B21FBBA1637}"/>
            </c:ext>
          </c:extLst>
        </c:ser>
        <c:ser>
          <c:idx val="28"/>
          <c:order val="28"/>
          <c:tx>
            <c:strRef>
              <c:f>'Executive Summary'!$AD$3:$AD$5</c:f>
              <c:strCache>
                <c:ptCount val="1"/>
                <c:pt idx="0">
                  <c:v>Sum of Efficiency_Gap - ECG Machine</c:v>
                </c:pt>
              </c:strCache>
            </c:strRef>
          </c:tx>
          <c:spPr>
            <a:solidFill>
              <a:schemeClr val="accent5">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Summary'!$AD$6:$AD$24</c:f>
              <c:numCache>
                <c:formatCode>General</c:formatCode>
                <c:ptCount val="18"/>
                <c:pt idx="0">
                  <c:v>28.799999999999997</c:v>
                </c:pt>
                <c:pt idx="1">
                  <c:v>0.6</c:v>
                </c:pt>
                <c:pt idx="8">
                  <c:v>7.4</c:v>
                </c:pt>
                <c:pt idx="9">
                  <c:v>10.8</c:v>
                </c:pt>
                <c:pt idx="10">
                  <c:v>12.8</c:v>
                </c:pt>
                <c:pt idx="11">
                  <c:v>2.9</c:v>
                </c:pt>
                <c:pt idx="12">
                  <c:v>2.2999999999999998</c:v>
                </c:pt>
              </c:numCache>
            </c:numRef>
          </c:val>
          <c:extLst>
            <c:ext xmlns:c16="http://schemas.microsoft.com/office/drawing/2014/chart" uri="{C3380CC4-5D6E-409C-BE32-E72D297353CC}">
              <c16:uniqueId val="{0000001C-AB4A-4329-9A1B-2B21FBBA1637}"/>
            </c:ext>
          </c:extLst>
        </c:ser>
        <c:ser>
          <c:idx val="29"/>
          <c:order val="29"/>
          <c:tx>
            <c:strRef>
              <c:f>'Executive Summary'!$AE$3:$AE$5</c:f>
              <c:strCache>
                <c:ptCount val="1"/>
                <c:pt idx="0">
                  <c:v>Sum of Efficiency_Gap - Infusion Pump</c:v>
                </c:pt>
              </c:strCache>
            </c:strRef>
          </c:tx>
          <c:spPr>
            <a:solidFill>
              <a:schemeClr val="accent6">
                <a:lumMod val="60000"/>
                <a:lumOff val="4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Summary'!$AE$6:$AE$24</c:f>
              <c:numCache>
                <c:formatCode>General</c:formatCode>
                <c:ptCount val="18"/>
                <c:pt idx="0">
                  <c:v>4</c:v>
                </c:pt>
                <c:pt idx="1">
                  <c:v>6.7</c:v>
                </c:pt>
                <c:pt idx="8">
                  <c:v>5.9</c:v>
                </c:pt>
                <c:pt idx="9">
                  <c:v>11.5</c:v>
                </c:pt>
                <c:pt idx="10">
                  <c:v>6.1999999999999993</c:v>
                </c:pt>
                <c:pt idx="11">
                  <c:v>12.5</c:v>
                </c:pt>
                <c:pt idx="12">
                  <c:v>27.900000000000002</c:v>
                </c:pt>
              </c:numCache>
            </c:numRef>
          </c:val>
          <c:extLst>
            <c:ext xmlns:c16="http://schemas.microsoft.com/office/drawing/2014/chart" uri="{C3380CC4-5D6E-409C-BE32-E72D297353CC}">
              <c16:uniqueId val="{0000001D-AB4A-4329-9A1B-2B21FBBA1637}"/>
            </c:ext>
          </c:extLst>
        </c:ser>
        <c:ser>
          <c:idx val="30"/>
          <c:order val="30"/>
          <c:tx>
            <c:strRef>
              <c:f>'Executive Summary'!$AF$3:$AF$5</c:f>
              <c:strCache>
                <c:ptCount val="1"/>
                <c:pt idx="0">
                  <c:v>Sum of Efficiency_Gap - MRI Scanner</c:v>
                </c:pt>
              </c:strCache>
            </c:strRef>
          </c:tx>
          <c:spPr>
            <a:solidFill>
              <a:schemeClr val="accent1">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Summary'!$AF$6:$AF$24</c:f>
              <c:numCache>
                <c:formatCode>General</c:formatCode>
                <c:ptCount val="18"/>
                <c:pt idx="0">
                  <c:v>8.1</c:v>
                </c:pt>
                <c:pt idx="1">
                  <c:v>11.2</c:v>
                </c:pt>
                <c:pt idx="8">
                  <c:v>3.5</c:v>
                </c:pt>
                <c:pt idx="9">
                  <c:v>15.5</c:v>
                </c:pt>
                <c:pt idx="10">
                  <c:v>5.6</c:v>
                </c:pt>
                <c:pt idx="11">
                  <c:v>18.7</c:v>
                </c:pt>
                <c:pt idx="12">
                  <c:v>15.100000000000001</c:v>
                </c:pt>
              </c:numCache>
            </c:numRef>
          </c:val>
          <c:extLst>
            <c:ext xmlns:c16="http://schemas.microsoft.com/office/drawing/2014/chart" uri="{C3380CC4-5D6E-409C-BE32-E72D297353CC}">
              <c16:uniqueId val="{0000001E-AB4A-4329-9A1B-2B21FBBA1637}"/>
            </c:ext>
          </c:extLst>
        </c:ser>
        <c:ser>
          <c:idx val="31"/>
          <c:order val="31"/>
          <c:tx>
            <c:strRef>
              <c:f>'Executive Summary'!$AG$3:$AG$5</c:f>
              <c:strCache>
                <c:ptCount val="1"/>
                <c:pt idx="0">
                  <c:v>Sum of Efficiency_Gap - Patient Monitor</c:v>
                </c:pt>
              </c:strCache>
            </c:strRef>
          </c:tx>
          <c:spPr>
            <a:solidFill>
              <a:schemeClr val="accent2">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Summary'!$AG$6:$AG$24</c:f>
              <c:numCache>
                <c:formatCode>General</c:formatCode>
                <c:ptCount val="18"/>
                <c:pt idx="0">
                  <c:v>7.5</c:v>
                </c:pt>
                <c:pt idx="1">
                  <c:v>11.299999999999999</c:v>
                </c:pt>
                <c:pt idx="8">
                  <c:v>0.8</c:v>
                </c:pt>
                <c:pt idx="9">
                  <c:v>22.799999999999997</c:v>
                </c:pt>
                <c:pt idx="10">
                  <c:v>7.6</c:v>
                </c:pt>
                <c:pt idx="11">
                  <c:v>17.099999999999998</c:v>
                </c:pt>
                <c:pt idx="12">
                  <c:v>3.1</c:v>
                </c:pt>
              </c:numCache>
            </c:numRef>
          </c:val>
          <c:extLst>
            <c:ext xmlns:c16="http://schemas.microsoft.com/office/drawing/2014/chart" uri="{C3380CC4-5D6E-409C-BE32-E72D297353CC}">
              <c16:uniqueId val="{0000001F-AB4A-4329-9A1B-2B21FBBA1637}"/>
            </c:ext>
          </c:extLst>
        </c:ser>
        <c:ser>
          <c:idx val="32"/>
          <c:order val="32"/>
          <c:tx>
            <c:strRef>
              <c:f>'Executive Summary'!$AH$3:$AH$5</c:f>
              <c:strCache>
                <c:ptCount val="1"/>
                <c:pt idx="0">
                  <c:v>Sum of Efficiency_Gap - Surgical Robot</c:v>
                </c:pt>
              </c:strCache>
            </c:strRef>
          </c:tx>
          <c:spPr>
            <a:solidFill>
              <a:schemeClr val="accent3">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Summary'!$AH$6:$AH$24</c:f>
              <c:numCache>
                <c:formatCode>General</c:formatCode>
                <c:ptCount val="18"/>
                <c:pt idx="0">
                  <c:v>16.099999999999998</c:v>
                </c:pt>
                <c:pt idx="1">
                  <c:v>11.499999999999998</c:v>
                </c:pt>
                <c:pt idx="8">
                  <c:v>13</c:v>
                </c:pt>
                <c:pt idx="9">
                  <c:v>24.1</c:v>
                </c:pt>
                <c:pt idx="10">
                  <c:v>35.099999999999994</c:v>
                </c:pt>
                <c:pt idx="11">
                  <c:v>7.2</c:v>
                </c:pt>
                <c:pt idx="12">
                  <c:v>4.0999999999999996</c:v>
                </c:pt>
              </c:numCache>
            </c:numRef>
          </c:val>
          <c:extLst>
            <c:ext xmlns:c16="http://schemas.microsoft.com/office/drawing/2014/chart" uri="{C3380CC4-5D6E-409C-BE32-E72D297353CC}">
              <c16:uniqueId val="{00000020-AB4A-4329-9A1B-2B21FBBA1637}"/>
            </c:ext>
          </c:extLst>
        </c:ser>
        <c:ser>
          <c:idx val="33"/>
          <c:order val="33"/>
          <c:tx>
            <c:strRef>
              <c:f>'Executive Summary'!$AI$3:$AI$5</c:f>
              <c:strCache>
                <c:ptCount val="1"/>
                <c:pt idx="0">
                  <c:v>Sum of Efficiency_Gap - Ultrasound Machine</c:v>
                </c:pt>
              </c:strCache>
            </c:strRef>
          </c:tx>
          <c:spPr>
            <a:solidFill>
              <a:schemeClr val="accent4">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Summary'!$AI$6:$AI$24</c:f>
              <c:numCache>
                <c:formatCode>General</c:formatCode>
                <c:ptCount val="18"/>
                <c:pt idx="0">
                  <c:v>3.9</c:v>
                </c:pt>
                <c:pt idx="1">
                  <c:v>15.700000000000003</c:v>
                </c:pt>
                <c:pt idx="8">
                  <c:v>6</c:v>
                </c:pt>
                <c:pt idx="9">
                  <c:v>19</c:v>
                </c:pt>
                <c:pt idx="10">
                  <c:v>10.7</c:v>
                </c:pt>
                <c:pt idx="11">
                  <c:v>2.1</c:v>
                </c:pt>
                <c:pt idx="12">
                  <c:v>13.8</c:v>
                </c:pt>
              </c:numCache>
            </c:numRef>
          </c:val>
          <c:extLst>
            <c:ext xmlns:c16="http://schemas.microsoft.com/office/drawing/2014/chart" uri="{C3380CC4-5D6E-409C-BE32-E72D297353CC}">
              <c16:uniqueId val="{00000021-AB4A-4329-9A1B-2B21FBBA1637}"/>
            </c:ext>
          </c:extLst>
        </c:ser>
        <c:ser>
          <c:idx val="34"/>
          <c:order val="34"/>
          <c:tx>
            <c:strRef>
              <c:f>'Executive Summary'!$AJ$3:$AJ$5</c:f>
              <c:strCache>
                <c:ptCount val="1"/>
                <c:pt idx="0">
                  <c:v>Sum of Efficiency_Gap - Ventilator</c:v>
                </c:pt>
              </c:strCache>
            </c:strRef>
          </c:tx>
          <c:spPr>
            <a:solidFill>
              <a:schemeClr val="accent5">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Summary'!$AJ$6:$AJ$24</c:f>
              <c:numCache>
                <c:formatCode>General</c:formatCode>
                <c:ptCount val="18"/>
                <c:pt idx="0">
                  <c:v>2</c:v>
                </c:pt>
                <c:pt idx="1">
                  <c:v>13</c:v>
                </c:pt>
                <c:pt idx="8">
                  <c:v>7.8000000000000007</c:v>
                </c:pt>
                <c:pt idx="9">
                  <c:v>4.7</c:v>
                </c:pt>
                <c:pt idx="10">
                  <c:v>19.600000000000001</c:v>
                </c:pt>
                <c:pt idx="11">
                  <c:v>5.5</c:v>
                </c:pt>
                <c:pt idx="12">
                  <c:v>5.7</c:v>
                </c:pt>
              </c:numCache>
            </c:numRef>
          </c:val>
          <c:extLst>
            <c:ext xmlns:c16="http://schemas.microsoft.com/office/drawing/2014/chart" uri="{C3380CC4-5D6E-409C-BE32-E72D297353CC}">
              <c16:uniqueId val="{00000022-AB4A-4329-9A1B-2B21FBBA1637}"/>
            </c:ext>
          </c:extLst>
        </c:ser>
        <c:ser>
          <c:idx val="35"/>
          <c:order val="35"/>
          <c:tx>
            <c:strRef>
              <c:f>'Executive Summary'!$AK$3:$AK$5</c:f>
              <c:strCache>
                <c:ptCount val="1"/>
                <c:pt idx="0">
                  <c:v>Sum of Efficiency_Gap - X-Ray Machine</c:v>
                </c:pt>
              </c:strCache>
            </c:strRef>
          </c:tx>
          <c:spPr>
            <a:solidFill>
              <a:schemeClr val="accent6">
                <a:lumMod val="50000"/>
              </a:schemeClr>
            </a:solidFill>
            <a:ln>
              <a:noFill/>
            </a:ln>
            <a:effectLst/>
          </c:spPr>
          <c:invertIfNegative val="0"/>
          <c:cat>
            <c:strRef>
              <c:f>'Executive Summary'!$A$6:$A$24</c:f>
              <c:strCache>
                <c:ptCount val="18"/>
                <c:pt idx="0">
                  <c:v>Cardiology</c:v>
                </c:pt>
                <c:pt idx="1">
                  <c:v>Emergency</c:v>
                </c:pt>
                <c:pt idx="2">
                  <c:v>Formula1</c:v>
                </c:pt>
                <c:pt idx="3">
                  <c:v>Formula2</c:v>
                </c:pt>
                <c:pt idx="4">
                  <c:v>Formula3</c:v>
                </c:pt>
                <c:pt idx="5">
                  <c:v>Formula4</c:v>
                </c:pt>
                <c:pt idx="6">
                  <c:v>Formula5</c:v>
                </c:pt>
                <c:pt idx="7">
                  <c:v>Formula6</c:v>
                </c:pt>
                <c:pt idx="8">
                  <c:v>General Ward</c:v>
                </c:pt>
                <c:pt idx="9">
                  <c:v>ICU</c:v>
                </c:pt>
                <c:pt idx="10">
                  <c:v>Nephrology</c:v>
                </c:pt>
                <c:pt idx="11">
                  <c:v>OT</c:v>
                </c:pt>
                <c:pt idx="12">
                  <c:v>Radiology</c:v>
                </c:pt>
                <c:pt idx="13">
                  <c:v>Formula7</c:v>
                </c:pt>
                <c:pt idx="14">
                  <c:v>Formula8</c:v>
                </c:pt>
                <c:pt idx="15">
                  <c:v>Formula9</c:v>
                </c:pt>
                <c:pt idx="16">
                  <c:v>Formula10</c:v>
                </c:pt>
                <c:pt idx="17">
                  <c:v>Formula11</c:v>
                </c:pt>
              </c:strCache>
            </c:strRef>
          </c:cat>
          <c:val>
            <c:numRef>
              <c:f>'Executive Summary'!$AK$6:$AK$24</c:f>
              <c:numCache>
                <c:formatCode>General</c:formatCode>
                <c:ptCount val="18"/>
                <c:pt idx="0">
                  <c:v>14.400000000000002</c:v>
                </c:pt>
                <c:pt idx="1">
                  <c:v>6.8</c:v>
                </c:pt>
                <c:pt idx="8">
                  <c:v>11.500000000000002</c:v>
                </c:pt>
                <c:pt idx="9">
                  <c:v>23.5</c:v>
                </c:pt>
                <c:pt idx="10">
                  <c:v>24.2</c:v>
                </c:pt>
                <c:pt idx="11">
                  <c:v>5</c:v>
                </c:pt>
                <c:pt idx="12">
                  <c:v>8.6</c:v>
                </c:pt>
              </c:numCache>
            </c:numRef>
          </c:val>
          <c:extLst>
            <c:ext xmlns:c16="http://schemas.microsoft.com/office/drawing/2014/chart" uri="{C3380CC4-5D6E-409C-BE32-E72D297353CC}">
              <c16:uniqueId val="{00000023-AB4A-4329-9A1B-2B21FBBA1637}"/>
            </c:ext>
          </c:extLst>
        </c:ser>
        <c:dLbls>
          <c:showLegendKey val="0"/>
          <c:showVal val="0"/>
          <c:showCatName val="0"/>
          <c:showSerName val="0"/>
          <c:showPercent val="0"/>
          <c:showBubbleSize val="0"/>
        </c:dLbls>
        <c:gapWidth val="150"/>
        <c:overlap val="100"/>
        <c:axId val="148318272"/>
        <c:axId val="148314912"/>
      </c:barChart>
      <c:catAx>
        <c:axId val="1483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4912"/>
        <c:crosses val="autoZero"/>
        <c:auto val="1"/>
        <c:lblAlgn val="ctr"/>
        <c:lblOffset val="100"/>
        <c:noMultiLvlLbl val="0"/>
      </c:catAx>
      <c:valAx>
        <c:axId val="14831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EQUIPMENT</a:t>
            </a:r>
            <a:r>
              <a:rPr lang="en-US" sz="1400" b="1" baseline="0">
                <a:latin typeface="Times New Roman" panose="02020603050405020304" pitchFamily="18" charset="0"/>
                <a:cs typeface="Times New Roman" panose="02020603050405020304" pitchFamily="18" charset="0"/>
              </a:rPr>
              <a:t> UTILIZATION BY DEPARTMENT </a:t>
            </a:r>
            <a:endParaRPr lang="en-US"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Sheet3!$A$4:$A$16</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Sheet3!$B$4:$B$16</c:f>
              <c:numCache>
                <c:formatCode>General</c:formatCode>
                <c:ptCount val="12"/>
                <c:pt idx="0">
                  <c:v>1583.5299999999997</c:v>
                </c:pt>
                <c:pt idx="1">
                  <c:v>2005.6500000000005</c:v>
                </c:pt>
                <c:pt idx="2">
                  <c:v>1636.45</c:v>
                </c:pt>
                <c:pt idx="3">
                  <c:v>1393.2</c:v>
                </c:pt>
                <c:pt idx="4">
                  <c:v>1547.5000000000005</c:v>
                </c:pt>
                <c:pt idx="5">
                  <c:v>1895.8099999999997</c:v>
                </c:pt>
                <c:pt idx="6">
                  <c:v>1685.7399999999998</c:v>
                </c:pt>
                <c:pt idx="7">
                  <c:v>1646.17</c:v>
                </c:pt>
                <c:pt idx="8">
                  <c:v>2399.2199999999998</c:v>
                </c:pt>
                <c:pt idx="9">
                  <c:v>1384.2300000000002</c:v>
                </c:pt>
                <c:pt idx="10">
                  <c:v>1322.7100000000003</c:v>
                </c:pt>
                <c:pt idx="11">
                  <c:v>2293.67</c:v>
                </c:pt>
              </c:numCache>
            </c:numRef>
          </c:val>
          <c:extLst>
            <c:ext xmlns:c16="http://schemas.microsoft.com/office/drawing/2014/chart" uri="{C3380CC4-5D6E-409C-BE32-E72D297353CC}">
              <c16:uniqueId val="{0000000D-9D4D-4B95-B4D1-81815B9A1BF1}"/>
            </c:ext>
          </c:extLst>
        </c:ser>
        <c:dLbls>
          <c:showLegendKey val="0"/>
          <c:showVal val="0"/>
          <c:showCatName val="0"/>
          <c:showSerName val="0"/>
          <c:showPercent val="0"/>
          <c:showBubbleSize val="0"/>
        </c:dLbls>
        <c:gapWidth val="219"/>
        <c:overlap val="-27"/>
        <c:axId val="148291392"/>
        <c:axId val="148293792"/>
      </c:barChart>
      <c:catAx>
        <c:axId val="1482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93792"/>
        <c:crosses val="autoZero"/>
        <c:auto val="1"/>
        <c:lblAlgn val="ctr"/>
        <c:lblOffset val="100"/>
        <c:noMultiLvlLbl val="0"/>
      </c:catAx>
      <c:valAx>
        <c:axId val="14829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91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[Hospital_Equipment_Analysis.csv.xlsx]Operational Efficiency!PivotTable5</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'Operational Efficiency'!$B$3</c:f>
              <c:strCache>
                <c:ptCount val="1"/>
                <c:pt idx="0">
                  <c:v>Sum of Utilization_Rate(%)</c:v>
                </c:pt>
              </c:strCache>
            </c:strRef>
          </c:tx>
          <c:spPr>
            <a:ln w="28575" cap="rnd">
              <a:solidFill>
                <a:schemeClr val="accent1"/>
              </a:solidFill>
              <a:round/>
            </a:ln>
            <a:effectLst/>
          </c:spPr>
          <c:marker>
            <c:symbol val="none"/>
          </c:marker>
          <c:cat>
            <c:strRef>
              <c:f>'Operational Efficiency'!$A$4:$A$16</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'Operational Efficiency'!$B$4:$B$16</c:f>
              <c:numCache>
                <c:formatCode>General</c:formatCode>
                <c:ptCount val="12"/>
                <c:pt idx="0">
                  <c:v>96.92</c:v>
                </c:pt>
                <c:pt idx="1">
                  <c:v>196.67</c:v>
                </c:pt>
                <c:pt idx="2">
                  <c:v>81.48</c:v>
                </c:pt>
                <c:pt idx="3">
                  <c:v>217.95</c:v>
                </c:pt>
                <c:pt idx="4">
                  <c:v>164.13</c:v>
                </c:pt>
                <c:pt idx="5">
                  <c:v>589.17999999999995</c:v>
                </c:pt>
                <c:pt idx="6">
                  <c:v>253.56</c:v>
                </c:pt>
                <c:pt idx="7">
                  <c:v>167.29</c:v>
                </c:pt>
                <c:pt idx="8">
                  <c:v>250.41</c:v>
                </c:pt>
                <c:pt idx="9">
                  <c:v>248.8</c:v>
                </c:pt>
                <c:pt idx="10">
                  <c:v>135.76</c:v>
                </c:pt>
                <c:pt idx="11">
                  <c:v>204.84</c:v>
                </c:pt>
              </c:numCache>
            </c:numRef>
          </c:val>
          <c:smooth val="0"/>
          <c:extLst>
            <c:ext xmlns:c16="http://schemas.microsoft.com/office/drawing/2014/chart" uri="{C3380CC4-5D6E-409C-BE32-E72D297353CC}">
              <c16:uniqueId val="{00000000-55DD-46D4-AF67-EB8DA9C56568}"/>
            </c:ext>
          </c:extLst>
        </c:ser>
        <c:ser>
          <c:idx val="1"/>
          <c:order val="1"/>
          <c:tx>
            <c:strRef>
              <c:f>'Operational Efficiency'!$C$3</c:f>
              <c:strCache>
                <c:ptCount val="1"/>
                <c:pt idx="0">
                  <c:v>Sum of Efficiency_Gap</c:v>
                </c:pt>
              </c:strCache>
            </c:strRef>
          </c:tx>
          <c:spPr>
            <a:ln w="28575" cap="rnd">
              <a:solidFill>
                <a:schemeClr val="accent2"/>
              </a:solidFill>
              <a:round/>
            </a:ln>
            <a:effectLst/>
          </c:spPr>
          <c:marker>
            <c:symbol val="none"/>
          </c:marker>
          <c:cat>
            <c:strRef>
              <c:f>'Operational Efficiency'!$A$4:$A$16</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'Operational Efficiency'!$C$4:$C$16</c:f>
              <c:numCache>
                <c:formatCode>General</c:formatCode>
                <c:ptCount val="12"/>
                <c:pt idx="0">
                  <c:v>0.2</c:v>
                </c:pt>
                <c:pt idx="1">
                  <c:v>9.5</c:v>
                </c:pt>
                <c:pt idx="2">
                  <c:v>2</c:v>
                </c:pt>
                <c:pt idx="3">
                  <c:v>8.9</c:v>
                </c:pt>
                <c:pt idx="4">
                  <c:v>2.2999999999999998</c:v>
                </c:pt>
                <c:pt idx="5">
                  <c:v>27.9</c:v>
                </c:pt>
                <c:pt idx="6">
                  <c:v>15.1</c:v>
                </c:pt>
                <c:pt idx="7">
                  <c:v>3.1</c:v>
                </c:pt>
                <c:pt idx="8">
                  <c:v>4.0999999999999996</c:v>
                </c:pt>
                <c:pt idx="9">
                  <c:v>13.8</c:v>
                </c:pt>
                <c:pt idx="10">
                  <c:v>5.7</c:v>
                </c:pt>
                <c:pt idx="11">
                  <c:v>8.6</c:v>
                </c:pt>
              </c:numCache>
            </c:numRef>
          </c:val>
          <c:smooth val="0"/>
          <c:extLst>
            <c:ext xmlns:c16="http://schemas.microsoft.com/office/drawing/2014/chart" uri="{C3380CC4-5D6E-409C-BE32-E72D297353CC}">
              <c16:uniqueId val="{00000001-55DD-46D4-AF67-EB8DA9C56568}"/>
            </c:ext>
          </c:extLst>
        </c:ser>
        <c:dLbls>
          <c:showLegendKey val="0"/>
          <c:showVal val="0"/>
          <c:showCatName val="0"/>
          <c:showSerName val="0"/>
          <c:showPercent val="0"/>
          <c:showBubbleSize val="0"/>
        </c:dLbls>
        <c:smooth val="0"/>
        <c:axId val="502680688"/>
        <c:axId val="502674448"/>
      </c:lineChart>
      <c:catAx>
        <c:axId val="50268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74448"/>
        <c:crosses val="autoZero"/>
        <c:auto val="1"/>
        <c:lblAlgn val="ctr"/>
        <c:lblOffset val="100"/>
        <c:noMultiLvlLbl val="0"/>
      </c:catAx>
      <c:valAx>
        <c:axId val="5026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8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EQUIPMENT UTILIZATION BY DEPARTMENT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9.1554027773679575E-2"/>
              <c:y val="9.2244775506659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3.4066614985555216E-2"/>
              <c:y val="-0.120319272399990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6"/>
          </a:solidFill>
          <a:ln>
            <a:noFill/>
          </a:ln>
          <a:effectLst/>
        </c:spPr>
        <c:marker>
          <c:symbol val="none"/>
        </c:marker>
        <c:dLbl>
          <c:idx val="0"/>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1"/>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10956130313702"/>
          <c:y val="0.25068335730308339"/>
          <c:w val="0.23998954506432757"/>
          <c:h val="0.43806337794172778"/>
        </c:manualLayout>
      </c:layout>
      <c:barChart>
        <c:barDir val="col"/>
        <c:grouping val="clustered"/>
        <c:varyColors val="0"/>
        <c:ser>
          <c:idx val="0"/>
          <c:order val="0"/>
          <c:tx>
            <c:strRef>
              <c:f>Sheet12!$B$4</c:f>
              <c:strCache>
                <c:ptCount val="1"/>
                <c:pt idx="0">
                  <c:v>Total</c:v>
                </c:pt>
              </c:strCache>
            </c:strRef>
          </c:tx>
          <c:spPr>
            <a:solidFill>
              <a:schemeClr val="accent6"/>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A20E-40D6-AB97-F37626ACCF5A}"/>
              </c:ext>
            </c:extLst>
          </c:dPt>
          <c:dLbls>
            <c:dLbl>
              <c:idx val="0"/>
              <c:layout>
                <c:manualLayout>
                  <c:x val="9.1554027773679575E-2"/>
                  <c:y val="9.22447755066594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0E-40D6-AB97-F37626AC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Sheet12!$A$5:$A$7</c:f>
              <c:strCache>
                <c:ptCount val="2"/>
                <c:pt idx="0">
                  <c:v>EQ002</c:v>
                </c:pt>
                <c:pt idx="1">
                  <c:v>EQ007</c:v>
                </c:pt>
              </c:strCache>
            </c:strRef>
          </c:cat>
          <c:val>
            <c:numRef>
              <c:f>Sheet12!$B$5:$B$7</c:f>
              <c:numCache>
                <c:formatCode>General</c:formatCode>
                <c:ptCount val="2"/>
                <c:pt idx="0">
                  <c:v>623.76</c:v>
                </c:pt>
                <c:pt idx="1">
                  <c:v>541.82000000000005</c:v>
                </c:pt>
              </c:numCache>
            </c:numRef>
          </c:val>
          <c:extLst>
            <c:ext xmlns:c16="http://schemas.microsoft.com/office/drawing/2014/chart" uri="{C3380CC4-5D6E-409C-BE32-E72D297353CC}">
              <c16:uniqueId val="{0000000F-971A-41A1-991A-D3D282FB1D25}"/>
            </c:ext>
          </c:extLst>
        </c:ser>
        <c:dLbls>
          <c:showLegendKey val="0"/>
          <c:showVal val="0"/>
          <c:showCatName val="0"/>
          <c:showSerName val="0"/>
          <c:showPercent val="0"/>
          <c:showBubbleSize val="0"/>
        </c:dLbls>
        <c:gapWidth val="219"/>
        <c:axId val="475151040"/>
        <c:axId val="475155840"/>
      </c:barChart>
      <c:catAx>
        <c:axId val="4751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55840"/>
        <c:crosses val="autoZero"/>
        <c:auto val="1"/>
        <c:lblAlgn val="ctr"/>
        <c:lblOffset val="100"/>
        <c:noMultiLvlLbl val="0"/>
      </c:catAx>
      <c:valAx>
        <c:axId val="4751558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5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Operational Efficiency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Sheet12!$J$5</c:f>
              <c:strCache>
                <c:ptCount val="1"/>
                <c:pt idx="0">
                  <c:v>Sum of Efficiency_Gap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Sheet12!$I$6:$I$8</c:f>
              <c:strCache>
                <c:ptCount val="2"/>
                <c:pt idx="0">
                  <c:v>CT Scanner</c:v>
                </c:pt>
                <c:pt idx="1">
                  <c:v>Defibrillator</c:v>
                </c:pt>
              </c:strCache>
            </c:strRef>
          </c:cat>
          <c:val>
            <c:numRef>
              <c:f>Sheet12!$J$6:$J$8</c:f>
              <c:numCache>
                <c:formatCode>General</c:formatCode>
                <c:ptCount val="2"/>
                <c:pt idx="0">
                  <c:v>20.6</c:v>
                </c:pt>
                <c:pt idx="1">
                  <c:v>15.3</c:v>
                </c:pt>
              </c:numCache>
            </c:numRef>
          </c:val>
          <c:smooth val="0"/>
          <c:extLst>
            <c:ext xmlns:c16="http://schemas.microsoft.com/office/drawing/2014/chart" uri="{C3380CC4-5D6E-409C-BE32-E72D297353CC}">
              <c16:uniqueId val="{0000000B-D4A7-462B-AC4A-8A37AB1F1457}"/>
            </c:ext>
          </c:extLst>
        </c:ser>
        <c:ser>
          <c:idx val="1"/>
          <c:order val="1"/>
          <c:tx>
            <c:strRef>
              <c:f>Sheet12!$K$5</c:f>
              <c:strCache>
                <c:ptCount val="1"/>
                <c:pt idx="0">
                  <c:v>Sum of Utilization_Rate(%)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Sheet12!$I$6:$I$8</c:f>
              <c:strCache>
                <c:ptCount val="2"/>
                <c:pt idx="0">
                  <c:v>CT Scanner</c:v>
                </c:pt>
                <c:pt idx="1">
                  <c:v>Defibrillator</c:v>
                </c:pt>
              </c:strCache>
            </c:strRef>
          </c:cat>
          <c:val>
            <c:numRef>
              <c:f>Sheet12!$K$6:$K$8</c:f>
              <c:numCache>
                <c:formatCode>General</c:formatCode>
                <c:ptCount val="2"/>
                <c:pt idx="0">
                  <c:v>623.76</c:v>
                </c:pt>
                <c:pt idx="1">
                  <c:v>541.82000000000005</c:v>
                </c:pt>
              </c:numCache>
            </c:numRef>
          </c:val>
          <c:smooth val="0"/>
          <c:extLst>
            <c:ext xmlns:c16="http://schemas.microsoft.com/office/drawing/2014/chart" uri="{C3380CC4-5D6E-409C-BE32-E72D297353CC}">
              <c16:uniqueId val="{0000000C-D4A7-462B-AC4A-8A37AB1F1457}"/>
            </c:ext>
          </c:extLst>
        </c:ser>
        <c:dLbls>
          <c:showLegendKey val="0"/>
          <c:showVal val="1"/>
          <c:showCatName val="0"/>
          <c:showSerName val="0"/>
          <c:showPercent val="0"/>
          <c:showBubbleSize val="0"/>
        </c:dLbls>
        <c:marker val="1"/>
        <c:smooth val="0"/>
        <c:axId val="147219024"/>
        <c:axId val="147220464"/>
      </c:lineChart>
      <c:catAx>
        <c:axId val="1472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0464"/>
        <c:crosses val="autoZero"/>
        <c:auto val="1"/>
        <c:lblAlgn val="ctr"/>
        <c:lblOffset val="100"/>
        <c:noMultiLvlLbl val="0"/>
      </c:catAx>
      <c:valAx>
        <c:axId val="1472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89747597489196"/>
          <c:y val="4.9468636383746531E-2"/>
          <c:w val="0.78737892391111974"/>
          <c:h val="0.63117312514819324"/>
        </c:manualLayout>
      </c:layout>
      <c:bar3DChart>
        <c:barDir val="col"/>
        <c:grouping val="stacked"/>
        <c:varyColors val="0"/>
        <c:ser>
          <c:idx val="0"/>
          <c:order val="0"/>
          <c:tx>
            <c:strRef>
              <c:f>Sheet12!$U$4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Sheet12!$T$5:$T$9</c:f>
              <c:strCache>
                <c:ptCount val="4"/>
                <c:pt idx="0">
                  <c:v>General Ward</c:v>
                </c:pt>
                <c:pt idx="1">
                  <c:v>ICU</c:v>
                </c:pt>
                <c:pt idx="2">
                  <c:v>Nephrology</c:v>
                </c:pt>
                <c:pt idx="3">
                  <c:v>OT</c:v>
                </c:pt>
              </c:strCache>
            </c:strRef>
          </c:cat>
          <c:val>
            <c:numRef>
              <c:f>Sheet12!$U$5:$U$9</c:f>
              <c:numCache>
                <c:formatCode>General</c:formatCode>
                <c:ptCount val="4"/>
                <c:pt idx="0">
                  <c:v>8.1999999999999993</c:v>
                </c:pt>
                <c:pt idx="1">
                  <c:v>14.8</c:v>
                </c:pt>
                <c:pt idx="2">
                  <c:v>10.199999999999999</c:v>
                </c:pt>
                <c:pt idx="3">
                  <c:v>2.7</c:v>
                </c:pt>
              </c:numCache>
            </c:numRef>
          </c:val>
          <c:extLst>
            <c:ext xmlns:c16="http://schemas.microsoft.com/office/drawing/2014/chart" uri="{C3380CC4-5D6E-409C-BE32-E72D297353CC}">
              <c16:uniqueId val="{0000000F-1A2A-40FD-8379-330857F0F48B}"/>
            </c:ext>
          </c:extLst>
        </c:ser>
        <c:dLbls>
          <c:showLegendKey val="0"/>
          <c:showVal val="1"/>
          <c:showCatName val="0"/>
          <c:showSerName val="0"/>
          <c:showPercent val="0"/>
          <c:showBubbleSize val="0"/>
        </c:dLbls>
        <c:gapWidth val="150"/>
        <c:shape val="box"/>
        <c:axId val="172123503"/>
        <c:axId val="172134063"/>
        <c:axId val="0"/>
      </c:bar3DChart>
      <c:catAx>
        <c:axId val="17212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4063"/>
        <c:crosses val="autoZero"/>
        <c:auto val="1"/>
        <c:lblAlgn val="ctr"/>
        <c:lblOffset val="100"/>
        <c:noMultiLvlLbl val="0"/>
      </c:catAx>
      <c:valAx>
        <c:axId val="17213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3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Times New Roman" panose="02020603050405020304" pitchFamily="18" charset="0"/>
                <a:cs typeface="Times New Roman" panose="02020603050405020304" pitchFamily="18" charset="0"/>
              </a:rPr>
              <a:t>DOWNTIME</a:t>
            </a:r>
            <a:r>
              <a:rPr lang="en-IN" sz="1800" b="1" baseline="0">
                <a:latin typeface="Times New Roman" panose="02020603050405020304" pitchFamily="18" charset="0"/>
                <a:cs typeface="Times New Roman" panose="02020603050405020304" pitchFamily="18" charset="0"/>
              </a:rPr>
              <a:t> OPTIMIZATION</a:t>
            </a:r>
            <a:endParaRPr lang="en-IN"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Sheet12!$AE$5:$AE$6</c:f>
              <c:strCache>
                <c:ptCount val="1"/>
                <c:pt idx="0">
                  <c:v>TECH01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Sheet12!$AE$7:$AE$9</c:f>
              <c:numCache>
                <c:formatCode>General</c:formatCode>
                <c:ptCount val="2"/>
                <c:pt idx="0">
                  <c:v>3.03</c:v>
                </c:pt>
                <c:pt idx="1">
                  <c:v>37.380000000000003</c:v>
                </c:pt>
              </c:numCache>
            </c:numRef>
          </c:val>
          <c:extLst>
            <c:ext xmlns:c16="http://schemas.microsoft.com/office/drawing/2014/chart" uri="{C3380CC4-5D6E-409C-BE32-E72D297353CC}">
              <c16:uniqueId val="{00000010-A759-4B61-B5FC-D30A4221EFFF}"/>
            </c:ext>
          </c:extLst>
        </c:ser>
        <c:ser>
          <c:idx val="1"/>
          <c:order val="1"/>
          <c:tx>
            <c:strRef>
              <c:f>Sheet12!$AF$5:$AF$6</c:f>
              <c:strCache>
                <c:ptCount val="1"/>
                <c:pt idx="0">
                  <c:v>TECH02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Sheet12!$AF$7:$AF$9</c:f>
              <c:numCache>
                <c:formatCode>General</c:formatCode>
                <c:ptCount val="2"/>
                <c:pt idx="0">
                  <c:v>3.95</c:v>
                </c:pt>
                <c:pt idx="1">
                  <c:v>34.64</c:v>
                </c:pt>
              </c:numCache>
            </c:numRef>
          </c:val>
          <c:extLst>
            <c:ext xmlns:c16="http://schemas.microsoft.com/office/drawing/2014/chart" uri="{C3380CC4-5D6E-409C-BE32-E72D297353CC}">
              <c16:uniqueId val="{00000011-A759-4B61-B5FC-D30A4221EFFF}"/>
            </c:ext>
          </c:extLst>
        </c:ser>
        <c:ser>
          <c:idx val="2"/>
          <c:order val="2"/>
          <c:tx>
            <c:strRef>
              <c:f>Sheet12!$AG$5:$AG$6</c:f>
              <c:strCache>
                <c:ptCount val="1"/>
                <c:pt idx="0">
                  <c:v>TECH03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Sheet12!$AG$7:$AG$9</c:f>
              <c:numCache>
                <c:formatCode>General</c:formatCode>
                <c:ptCount val="2"/>
                <c:pt idx="0">
                  <c:v>34.72</c:v>
                </c:pt>
              </c:numCache>
            </c:numRef>
          </c:val>
          <c:extLst>
            <c:ext xmlns:c16="http://schemas.microsoft.com/office/drawing/2014/chart" uri="{C3380CC4-5D6E-409C-BE32-E72D297353CC}">
              <c16:uniqueId val="{00000000-8B2C-4D98-A9C4-C071FD0B71A0}"/>
            </c:ext>
          </c:extLst>
        </c:ser>
        <c:ser>
          <c:idx val="3"/>
          <c:order val="3"/>
          <c:tx>
            <c:strRef>
              <c:f>Sheet12!$AH$5:$AH$6</c:f>
              <c:strCache>
                <c:ptCount val="1"/>
                <c:pt idx="0">
                  <c:v>TECH04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Sheet12!$AH$7:$AH$9</c:f>
              <c:numCache>
                <c:formatCode>General</c:formatCode>
                <c:ptCount val="2"/>
                <c:pt idx="0">
                  <c:v>24.74</c:v>
                </c:pt>
                <c:pt idx="1">
                  <c:v>7.83</c:v>
                </c:pt>
              </c:numCache>
            </c:numRef>
          </c:val>
          <c:extLst>
            <c:ext xmlns:c16="http://schemas.microsoft.com/office/drawing/2014/chart" uri="{C3380CC4-5D6E-409C-BE32-E72D297353CC}">
              <c16:uniqueId val="{00000001-8B2C-4D98-A9C4-C071FD0B71A0}"/>
            </c:ext>
          </c:extLst>
        </c:ser>
        <c:ser>
          <c:idx val="4"/>
          <c:order val="4"/>
          <c:tx>
            <c:strRef>
              <c:f>Sheet12!$AI$5:$AI$6</c:f>
              <c:strCache>
                <c:ptCount val="1"/>
                <c:pt idx="0">
                  <c:v>TECH05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Sheet12!$AI$7:$AI$9</c:f>
              <c:numCache>
                <c:formatCode>General</c:formatCode>
                <c:ptCount val="2"/>
                <c:pt idx="0">
                  <c:v>30.14</c:v>
                </c:pt>
                <c:pt idx="1">
                  <c:v>25</c:v>
                </c:pt>
              </c:numCache>
            </c:numRef>
          </c:val>
          <c:extLst>
            <c:ext xmlns:c16="http://schemas.microsoft.com/office/drawing/2014/chart" uri="{C3380CC4-5D6E-409C-BE32-E72D297353CC}">
              <c16:uniqueId val="{00000002-8B2C-4D98-A9C4-C071FD0B71A0}"/>
            </c:ext>
          </c:extLst>
        </c:ser>
        <c:ser>
          <c:idx val="5"/>
          <c:order val="5"/>
          <c:tx>
            <c:strRef>
              <c:f>Sheet12!$AJ$5:$AJ$6</c:f>
              <c:strCache>
                <c:ptCount val="1"/>
                <c:pt idx="0">
                  <c:v>TECH06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Sheet12!$AJ$7:$AJ$9</c:f>
              <c:numCache>
                <c:formatCode>General</c:formatCode>
                <c:ptCount val="2"/>
                <c:pt idx="0">
                  <c:v>62.28</c:v>
                </c:pt>
                <c:pt idx="1">
                  <c:v>19.23</c:v>
                </c:pt>
              </c:numCache>
            </c:numRef>
          </c:val>
          <c:extLst>
            <c:ext xmlns:c16="http://schemas.microsoft.com/office/drawing/2014/chart" uri="{C3380CC4-5D6E-409C-BE32-E72D297353CC}">
              <c16:uniqueId val="{00000003-8B2C-4D98-A9C4-C071FD0B71A0}"/>
            </c:ext>
          </c:extLst>
        </c:ser>
        <c:ser>
          <c:idx val="6"/>
          <c:order val="6"/>
          <c:tx>
            <c:strRef>
              <c:f>Sheet12!$AK$5:$AK$6</c:f>
              <c:strCache>
                <c:ptCount val="1"/>
                <c:pt idx="0">
                  <c:v>TECH07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Sheet12!$AK$7:$AK$9</c:f>
              <c:numCache>
                <c:formatCode>General</c:formatCode>
                <c:ptCount val="2"/>
                <c:pt idx="0">
                  <c:v>38.36</c:v>
                </c:pt>
              </c:numCache>
            </c:numRef>
          </c:val>
          <c:extLst>
            <c:ext xmlns:c16="http://schemas.microsoft.com/office/drawing/2014/chart" uri="{C3380CC4-5D6E-409C-BE32-E72D297353CC}">
              <c16:uniqueId val="{00000004-8B2C-4D98-A9C4-C071FD0B71A0}"/>
            </c:ext>
          </c:extLst>
        </c:ser>
        <c:ser>
          <c:idx val="7"/>
          <c:order val="7"/>
          <c:tx>
            <c:strRef>
              <c:f>Sheet12!$AL$5:$AL$6</c:f>
              <c:strCache>
                <c:ptCount val="1"/>
                <c:pt idx="0">
                  <c:v>TECH08</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Sheet12!$AL$7:$AL$9</c:f>
              <c:numCache>
                <c:formatCode>General</c:formatCode>
                <c:ptCount val="2"/>
                <c:pt idx="0">
                  <c:v>22.95</c:v>
                </c:pt>
              </c:numCache>
            </c:numRef>
          </c:val>
          <c:extLst>
            <c:ext xmlns:c16="http://schemas.microsoft.com/office/drawing/2014/chart" uri="{C3380CC4-5D6E-409C-BE32-E72D297353CC}">
              <c16:uniqueId val="{00000005-8B2C-4D98-A9C4-C071FD0B71A0}"/>
            </c:ext>
          </c:extLst>
        </c:ser>
        <c:dLbls>
          <c:dLblPos val="outEnd"/>
          <c:showLegendKey val="0"/>
          <c:showVal val="1"/>
          <c:showCatName val="0"/>
          <c:showSerName val="0"/>
          <c:showPercent val="0"/>
          <c:showBubbleSize val="0"/>
        </c:dLbls>
        <c:gapWidth val="219"/>
        <c:overlap val="-27"/>
        <c:axId val="473135999"/>
        <c:axId val="473136479"/>
      </c:barChart>
      <c:catAx>
        <c:axId val="4731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36479"/>
        <c:crosses val="autoZero"/>
        <c:auto val="1"/>
        <c:lblAlgn val="ctr"/>
        <c:lblOffset val="100"/>
        <c:noMultiLvlLbl val="0"/>
      </c:catAx>
      <c:valAx>
        <c:axId val="47313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3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Sheet12!$CV$5:$CV$7</c:f>
              <c:strCache>
                <c:ptCount val="1"/>
                <c:pt idx="0">
                  <c:v>Sum of Scheduled_Hours - General Ward</c:v>
                </c:pt>
              </c:strCache>
            </c:strRef>
          </c:tx>
          <c:spPr>
            <a:solidFill>
              <a:schemeClr val="accent1"/>
            </a:solidFill>
            <a:ln>
              <a:noFill/>
            </a:ln>
            <a:effectLst/>
            <a:sp3d/>
          </c:spPr>
          <c:invertIfNegative val="0"/>
          <c:cat>
            <c:strRef>
              <c:f>Sheet12!$CU$8:$CU$10</c:f>
              <c:strCache>
                <c:ptCount val="2"/>
                <c:pt idx="0">
                  <c:v>CT Scanner</c:v>
                </c:pt>
                <c:pt idx="1">
                  <c:v>Defibrillator</c:v>
                </c:pt>
              </c:strCache>
            </c:strRef>
          </c:cat>
          <c:val>
            <c:numRef>
              <c:f>Sheet12!$CV$8:$CV$10</c:f>
              <c:numCache>
                <c:formatCode>General</c:formatCode>
                <c:ptCount val="2"/>
                <c:pt idx="0">
                  <c:v>23.4</c:v>
                </c:pt>
                <c:pt idx="1">
                  <c:v>11.2</c:v>
                </c:pt>
              </c:numCache>
            </c:numRef>
          </c:val>
          <c:extLst>
            <c:ext xmlns:c16="http://schemas.microsoft.com/office/drawing/2014/chart" uri="{C3380CC4-5D6E-409C-BE32-E72D297353CC}">
              <c16:uniqueId val="{00000027-7D13-4994-8653-D4086D26C79D}"/>
            </c:ext>
          </c:extLst>
        </c:ser>
        <c:ser>
          <c:idx val="1"/>
          <c:order val="1"/>
          <c:tx>
            <c:strRef>
              <c:f>Sheet12!$CW$5:$CW$7</c:f>
              <c:strCache>
                <c:ptCount val="1"/>
                <c:pt idx="0">
                  <c:v>Sum of Scheduled_Hours - ICU</c:v>
                </c:pt>
              </c:strCache>
            </c:strRef>
          </c:tx>
          <c:spPr>
            <a:solidFill>
              <a:schemeClr val="accent2"/>
            </a:solidFill>
            <a:ln>
              <a:noFill/>
            </a:ln>
            <a:effectLst/>
            <a:sp3d/>
          </c:spPr>
          <c:invertIfNegative val="0"/>
          <c:cat>
            <c:strRef>
              <c:f>Sheet12!$CU$8:$CU$10</c:f>
              <c:strCache>
                <c:ptCount val="2"/>
                <c:pt idx="0">
                  <c:v>CT Scanner</c:v>
                </c:pt>
                <c:pt idx="1">
                  <c:v>Defibrillator</c:v>
                </c:pt>
              </c:strCache>
            </c:strRef>
          </c:cat>
          <c:val>
            <c:numRef>
              <c:f>Sheet12!$CW$8:$CW$10</c:f>
              <c:numCache>
                <c:formatCode>General</c:formatCode>
                <c:ptCount val="2"/>
                <c:pt idx="0">
                  <c:v>23.6</c:v>
                </c:pt>
                <c:pt idx="1">
                  <c:v>28.4</c:v>
                </c:pt>
              </c:numCache>
            </c:numRef>
          </c:val>
          <c:extLst>
            <c:ext xmlns:c16="http://schemas.microsoft.com/office/drawing/2014/chart" uri="{C3380CC4-5D6E-409C-BE32-E72D297353CC}">
              <c16:uniqueId val="{00000028-7D13-4994-8653-D4086D26C79D}"/>
            </c:ext>
          </c:extLst>
        </c:ser>
        <c:ser>
          <c:idx val="2"/>
          <c:order val="2"/>
          <c:tx>
            <c:strRef>
              <c:f>Sheet12!$CX$5:$CX$7</c:f>
              <c:strCache>
                <c:ptCount val="1"/>
                <c:pt idx="0">
                  <c:v>Sum of Scheduled_Hours - Nephrology</c:v>
                </c:pt>
              </c:strCache>
            </c:strRef>
          </c:tx>
          <c:spPr>
            <a:solidFill>
              <a:schemeClr val="accent3"/>
            </a:solidFill>
            <a:ln>
              <a:noFill/>
            </a:ln>
            <a:effectLst/>
            <a:sp3d/>
          </c:spPr>
          <c:invertIfNegative val="0"/>
          <c:cat>
            <c:strRef>
              <c:f>Sheet12!$CU$8:$CU$10</c:f>
              <c:strCache>
                <c:ptCount val="2"/>
                <c:pt idx="0">
                  <c:v>CT Scanner</c:v>
                </c:pt>
                <c:pt idx="1">
                  <c:v>Defibrillator</c:v>
                </c:pt>
              </c:strCache>
            </c:strRef>
          </c:cat>
          <c:val>
            <c:numRef>
              <c:f>Sheet12!$CX$8:$CX$10</c:f>
              <c:numCache>
                <c:formatCode>General</c:formatCode>
                <c:ptCount val="2"/>
                <c:pt idx="0">
                  <c:v>20.2</c:v>
                </c:pt>
                <c:pt idx="1">
                  <c:v>19.3</c:v>
                </c:pt>
              </c:numCache>
            </c:numRef>
          </c:val>
          <c:extLst>
            <c:ext xmlns:c16="http://schemas.microsoft.com/office/drawing/2014/chart" uri="{C3380CC4-5D6E-409C-BE32-E72D297353CC}">
              <c16:uniqueId val="{00000029-7D13-4994-8653-D4086D26C79D}"/>
            </c:ext>
          </c:extLst>
        </c:ser>
        <c:ser>
          <c:idx val="3"/>
          <c:order val="3"/>
          <c:tx>
            <c:strRef>
              <c:f>Sheet12!$CY$5:$CY$7</c:f>
              <c:strCache>
                <c:ptCount val="1"/>
                <c:pt idx="0">
                  <c:v>Sum of Scheduled_Hours - OT</c:v>
                </c:pt>
              </c:strCache>
            </c:strRef>
          </c:tx>
          <c:spPr>
            <a:solidFill>
              <a:schemeClr val="accent4"/>
            </a:solidFill>
            <a:ln>
              <a:noFill/>
            </a:ln>
            <a:effectLst/>
            <a:sp3d/>
          </c:spPr>
          <c:invertIfNegative val="0"/>
          <c:cat>
            <c:strRef>
              <c:f>Sheet12!$CU$8:$CU$10</c:f>
              <c:strCache>
                <c:ptCount val="2"/>
                <c:pt idx="0">
                  <c:v>CT Scanner</c:v>
                </c:pt>
                <c:pt idx="1">
                  <c:v>Defibrillator</c:v>
                </c:pt>
              </c:strCache>
            </c:strRef>
          </c:cat>
          <c:val>
            <c:numRef>
              <c:f>Sheet12!$CY$8:$CY$10</c:f>
              <c:numCache>
                <c:formatCode>General</c:formatCode>
                <c:ptCount val="2"/>
                <c:pt idx="1">
                  <c:v>10.5</c:v>
                </c:pt>
              </c:numCache>
            </c:numRef>
          </c:val>
          <c:extLst>
            <c:ext xmlns:c16="http://schemas.microsoft.com/office/drawing/2014/chart" uri="{C3380CC4-5D6E-409C-BE32-E72D297353CC}">
              <c16:uniqueId val="{00000000-CB81-421A-8B59-DDAE2171EC39}"/>
            </c:ext>
          </c:extLst>
        </c:ser>
        <c:ser>
          <c:idx val="4"/>
          <c:order val="4"/>
          <c:tx>
            <c:strRef>
              <c:f>Sheet12!$CZ$5:$CZ$7</c:f>
              <c:strCache>
                <c:ptCount val="1"/>
                <c:pt idx="0">
                  <c:v>Sum of Actual_Usage_Hours - General Ward</c:v>
                </c:pt>
              </c:strCache>
            </c:strRef>
          </c:tx>
          <c:spPr>
            <a:solidFill>
              <a:schemeClr val="accent5"/>
            </a:solidFill>
            <a:ln>
              <a:noFill/>
            </a:ln>
            <a:effectLst/>
            <a:sp3d/>
          </c:spPr>
          <c:invertIfNegative val="0"/>
          <c:cat>
            <c:strRef>
              <c:f>Sheet12!$CU$8:$CU$10</c:f>
              <c:strCache>
                <c:ptCount val="2"/>
                <c:pt idx="0">
                  <c:v>CT Scanner</c:v>
                </c:pt>
                <c:pt idx="1">
                  <c:v>Defibrillator</c:v>
                </c:pt>
              </c:strCache>
            </c:strRef>
          </c:cat>
          <c:val>
            <c:numRef>
              <c:f>Sheet12!$CZ$8:$CZ$10</c:f>
              <c:numCache>
                <c:formatCode>General</c:formatCode>
                <c:ptCount val="2"/>
                <c:pt idx="0">
                  <c:v>16.5</c:v>
                </c:pt>
                <c:pt idx="1">
                  <c:v>9.9</c:v>
                </c:pt>
              </c:numCache>
            </c:numRef>
          </c:val>
          <c:extLst>
            <c:ext xmlns:c16="http://schemas.microsoft.com/office/drawing/2014/chart" uri="{C3380CC4-5D6E-409C-BE32-E72D297353CC}">
              <c16:uniqueId val="{00000001-CB81-421A-8B59-DDAE2171EC39}"/>
            </c:ext>
          </c:extLst>
        </c:ser>
        <c:ser>
          <c:idx val="5"/>
          <c:order val="5"/>
          <c:tx>
            <c:strRef>
              <c:f>Sheet12!$DA$5:$DA$7</c:f>
              <c:strCache>
                <c:ptCount val="1"/>
                <c:pt idx="0">
                  <c:v>Sum of Actual_Usage_Hours - ICU</c:v>
                </c:pt>
              </c:strCache>
            </c:strRef>
          </c:tx>
          <c:spPr>
            <a:solidFill>
              <a:schemeClr val="accent6"/>
            </a:solidFill>
            <a:ln>
              <a:noFill/>
            </a:ln>
            <a:effectLst/>
            <a:sp3d/>
          </c:spPr>
          <c:invertIfNegative val="0"/>
          <c:cat>
            <c:strRef>
              <c:f>Sheet12!$CU$8:$CU$10</c:f>
              <c:strCache>
                <c:ptCount val="2"/>
                <c:pt idx="0">
                  <c:v>CT Scanner</c:v>
                </c:pt>
                <c:pt idx="1">
                  <c:v>Defibrillator</c:v>
                </c:pt>
              </c:strCache>
            </c:strRef>
          </c:cat>
          <c:val>
            <c:numRef>
              <c:f>Sheet12!$DA$8:$DA$10</c:f>
              <c:numCache>
                <c:formatCode>General</c:formatCode>
                <c:ptCount val="2"/>
                <c:pt idx="0">
                  <c:v>16.399999999999999</c:v>
                </c:pt>
                <c:pt idx="1">
                  <c:v>20.8</c:v>
                </c:pt>
              </c:numCache>
            </c:numRef>
          </c:val>
          <c:extLst>
            <c:ext xmlns:c16="http://schemas.microsoft.com/office/drawing/2014/chart" uri="{C3380CC4-5D6E-409C-BE32-E72D297353CC}">
              <c16:uniqueId val="{00000002-CB81-421A-8B59-DDAE2171EC39}"/>
            </c:ext>
          </c:extLst>
        </c:ser>
        <c:ser>
          <c:idx val="6"/>
          <c:order val="6"/>
          <c:tx>
            <c:strRef>
              <c:f>Sheet12!$DB$5:$DB$7</c:f>
              <c:strCache>
                <c:ptCount val="1"/>
                <c:pt idx="0">
                  <c:v>Sum of Actual_Usage_Hours - Nephrology</c:v>
                </c:pt>
              </c:strCache>
            </c:strRef>
          </c:tx>
          <c:spPr>
            <a:solidFill>
              <a:schemeClr val="accent1">
                <a:lumMod val="60000"/>
              </a:schemeClr>
            </a:solidFill>
            <a:ln>
              <a:noFill/>
            </a:ln>
            <a:effectLst/>
            <a:sp3d/>
          </c:spPr>
          <c:invertIfNegative val="0"/>
          <c:cat>
            <c:strRef>
              <c:f>Sheet12!$CU$8:$CU$10</c:f>
              <c:strCache>
                <c:ptCount val="2"/>
                <c:pt idx="0">
                  <c:v>CT Scanner</c:v>
                </c:pt>
                <c:pt idx="1">
                  <c:v>Defibrillator</c:v>
                </c:pt>
              </c:strCache>
            </c:strRef>
          </c:cat>
          <c:val>
            <c:numRef>
              <c:f>Sheet12!$DB$8:$DB$10</c:f>
              <c:numCache>
                <c:formatCode>General</c:formatCode>
                <c:ptCount val="2"/>
                <c:pt idx="0">
                  <c:v>13.7</c:v>
                </c:pt>
                <c:pt idx="1">
                  <c:v>15.6</c:v>
                </c:pt>
              </c:numCache>
            </c:numRef>
          </c:val>
          <c:extLst>
            <c:ext xmlns:c16="http://schemas.microsoft.com/office/drawing/2014/chart" uri="{C3380CC4-5D6E-409C-BE32-E72D297353CC}">
              <c16:uniqueId val="{00000003-CB81-421A-8B59-DDAE2171EC39}"/>
            </c:ext>
          </c:extLst>
        </c:ser>
        <c:ser>
          <c:idx val="7"/>
          <c:order val="7"/>
          <c:tx>
            <c:strRef>
              <c:f>Sheet12!$DC$5:$DC$7</c:f>
              <c:strCache>
                <c:ptCount val="1"/>
                <c:pt idx="0">
                  <c:v>Sum of Actual_Usage_Hours - OT</c:v>
                </c:pt>
              </c:strCache>
            </c:strRef>
          </c:tx>
          <c:spPr>
            <a:solidFill>
              <a:schemeClr val="accent2">
                <a:lumMod val="60000"/>
              </a:schemeClr>
            </a:solidFill>
            <a:ln>
              <a:noFill/>
            </a:ln>
            <a:effectLst/>
            <a:sp3d/>
          </c:spPr>
          <c:invertIfNegative val="0"/>
          <c:cat>
            <c:strRef>
              <c:f>Sheet12!$CU$8:$CU$10</c:f>
              <c:strCache>
                <c:ptCount val="2"/>
                <c:pt idx="0">
                  <c:v>CT Scanner</c:v>
                </c:pt>
                <c:pt idx="1">
                  <c:v>Defibrillator</c:v>
                </c:pt>
              </c:strCache>
            </c:strRef>
          </c:cat>
          <c:val>
            <c:numRef>
              <c:f>Sheet12!$DC$8:$DC$10</c:f>
              <c:numCache>
                <c:formatCode>General</c:formatCode>
                <c:ptCount val="2"/>
                <c:pt idx="1">
                  <c:v>7.8</c:v>
                </c:pt>
              </c:numCache>
            </c:numRef>
          </c:val>
          <c:extLst>
            <c:ext xmlns:c16="http://schemas.microsoft.com/office/drawing/2014/chart" uri="{C3380CC4-5D6E-409C-BE32-E72D297353CC}">
              <c16:uniqueId val="{00000004-CB81-421A-8B59-DDAE2171EC39}"/>
            </c:ext>
          </c:extLst>
        </c:ser>
        <c:ser>
          <c:idx val="8"/>
          <c:order val="8"/>
          <c:tx>
            <c:strRef>
              <c:f>Sheet12!$DD$5:$DD$7</c:f>
              <c:strCache>
                <c:ptCount val="1"/>
                <c:pt idx="0">
                  <c:v>Sum of Downtime_Hours - General Ward</c:v>
                </c:pt>
              </c:strCache>
            </c:strRef>
          </c:tx>
          <c:spPr>
            <a:solidFill>
              <a:schemeClr val="accent3">
                <a:lumMod val="60000"/>
              </a:schemeClr>
            </a:solidFill>
            <a:ln>
              <a:noFill/>
            </a:ln>
            <a:effectLst/>
            <a:sp3d/>
          </c:spPr>
          <c:invertIfNegative val="0"/>
          <c:cat>
            <c:strRef>
              <c:f>Sheet12!$CU$8:$CU$10</c:f>
              <c:strCache>
                <c:ptCount val="2"/>
                <c:pt idx="0">
                  <c:v>CT Scanner</c:v>
                </c:pt>
                <c:pt idx="1">
                  <c:v>Defibrillator</c:v>
                </c:pt>
              </c:strCache>
            </c:strRef>
          </c:cat>
          <c:val>
            <c:numRef>
              <c:f>Sheet12!$DD$8:$DD$10</c:f>
              <c:numCache>
                <c:formatCode>General</c:formatCode>
                <c:ptCount val="2"/>
                <c:pt idx="0">
                  <c:v>5.5</c:v>
                </c:pt>
                <c:pt idx="1">
                  <c:v>1</c:v>
                </c:pt>
              </c:numCache>
            </c:numRef>
          </c:val>
          <c:extLst>
            <c:ext xmlns:c16="http://schemas.microsoft.com/office/drawing/2014/chart" uri="{C3380CC4-5D6E-409C-BE32-E72D297353CC}">
              <c16:uniqueId val="{00000005-CB81-421A-8B59-DDAE2171EC39}"/>
            </c:ext>
          </c:extLst>
        </c:ser>
        <c:ser>
          <c:idx val="9"/>
          <c:order val="9"/>
          <c:tx>
            <c:strRef>
              <c:f>Sheet12!$DE$5:$DE$7</c:f>
              <c:strCache>
                <c:ptCount val="1"/>
                <c:pt idx="0">
                  <c:v>Sum of Downtime_Hours - ICU</c:v>
                </c:pt>
              </c:strCache>
            </c:strRef>
          </c:tx>
          <c:spPr>
            <a:solidFill>
              <a:schemeClr val="accent4">
                <a:lumMod val="60000"/>
              </a:schemeClr>
            </a:solidFill>
            <a:ln>
              <a:noFill/>
            </a:ln>
            <a:effectLst/>
            <a:sp3d/>
          </c:spPr>
          <c:invertIfNegative val="0"/>
          <c:cat>
            <c:strRef>
              <c:f>Sheet12!$CU$8:$CU$10</c:f>
              <c:strCache>
                <c:ptCount val="2"/>
                <c:pt idx="0">
                  <c:v>CT Scanner</c:v>
                </c:pt>
                <c:pt idx="1">
                  <c:v>Defibrillator</c:v>
                </c:pt>
              </c:strCache>
            </c:strRef>
          </c:cat>
          <c:val>
            <c:numRef>
              <c:f>Sheet12!$DE$8:$DE$10</c:f>
              <c:numCache>
                <c:formatCode>General</c:formatCode>
                <c:ptCount val="2"/>
                <c:pt idx="0">
                  <c:v>5.4</c:v>
                </c:pt>
                <c:pt idx="1">
                  <c:v>5.9</c:v>
                </c:pt>
              </c:numCache>
            </c:numRef>
          </c:val>
          <c:extLst>
            <c:ext xmlns:c16="http://schemas.microsoft.com/office/drawing/2014/chart" uri="{C3380CC4-5D6E-409C-BE32-E72D297353CC}">
              <c16:uniqueId val="{00000000-74EB-4EB2-A2FF-952FD7777131}"/>
            </c:ext>
          </c:extLst>
        </c:ser>
        <c:ser>
          <c:idx val="10"/>
          <c:order val="10"/>
          <c:tx>
            <c:strRef>
              <c:f>Sheet12!$DF$5:$DF$7</c:f>
              <c:strCache>
                <c:ptCount val="1"/>
                <c:pt idx="0">
                  <c:v>Sum of Downtime_Hours - Nephrology</c:v>
                </c:pt>
              </c:strCache>
            </c:strRef>
          </c:tx>
          <c:spPr>
            <a:solidFill>
              <a:schemeClr val="accent5">
                <a:lumMod val="60000"/>
              </a:schemeClr>
            </a:solidFill>
            <a:ln>
              <a:noFill/>
            </a:ln>
            <a:effectLst/>
            <a:sp3d/>
          </c:spPr>
          <c:invertIfNegative val="0"/>
          <c:cat>
            <c:strRef>
              <c:f>Sheet12!$CU$8:$CU$10</c:f>
              <c:strCache>
                <c:ptCount val="2"/>
                <c:pt idx="0">
                  <c:v>CT Scanner</c:v>
                </c:pt>
                <c:pt idx="1">
                  <c:v>Defibrillator</c:v>
                </c:pt>
              </c:strCache>
            </c:strRef>
          </c:cat>
          <c:val>
            <c:numRef>
              <c:f>Sheet12!$DF$8:$DF$10</c:f>
              <c:numCache>
                <c:formatCode>General</c:formatCode>
                <c:ptCount val="2"/>
                <c:pt idx="0">
                  <c:v>5.7</c:v>
                </c:pt>
                <c:pt idx="1">
                  <c:v>2.4</c:v>
                </c:pt>
              </c:numCache>
            </c:numRef>
          </c:val>
          <c:extLst>
            <c:ext xmlns:c16="http://schemas.microsoft.com/office/drawing/2014/chart" uri="{C3380CC4-5D6E-409C-BE32-E72D297353CC}">
              <c16:uniqueId val="{00000001-74EB-4EB2-A2FF-952FD7777131}"/>
            </c:ext>
          </c:extLst>
        </c:ser>
        <c:ser>
          <c:idx val="11"/>
          <c:order val="11"/>
          <c:tx>
            <c:strRef>
              <c:f>Sheet12!$DG$5:$DG$7</c:f>
              <c:strCache>
                <c:ptCount val="1"/>
                <c:pt idx="0">
                  <c:v>Sum of Downtime_Hours - OT</c:v>
                </c:pt>
              </c:strCache>
            </c:strRef>
          </c:tx>
          <c:spPr>
            <a:solidFill>
              <a:schemeClr val="accent6">
                <a:lumMod val="60000"/>
              </a:schemeClr>
            </a:solidFill>
            <a:ln>
              <a:noFill/>
            </a:ln>
            <a:effectLst/>
            <a:sp3d/>
          </c:spPr>
          <c:invertIfNegative val="0"/>
          <c:cat>
            <c:strRef>
              <c:f>Sheet12!$CU$8:$CU$10</c:f>
              <c:strCache>
                <c:ptCount val="2"/>
                <c:pt idx="0">
                  <c:v>CT Scanner</c:v>
                </c:pt>
                <c:pt idx="1">
                  <c:v>Defibrillator</c:v>
                </c:pt>
              </c:strCache>
            </c:strRef>
          </c:cat>
          <c:val>
            <c:numRef>
              <c:f>Sheet12!$DG$8:$DG$10</c:f>
              <c:numCache>
                <c:formatCode>General</c:formatCode>
                <c:ptCount val="2"/>
                <c:pt idx="1">
                  <c:v>2.7</c:v>
                </c:pt>
              </c:numCache>
            </c:numRef>
          </c:val>
          <c:extLst>
            <c:ext xmlns:c16="http://schemas.microsoft.com/office/drawing/2014/chart" uri="{C3380CC4-5D6E-409C-BE32-E72D297353CC}">
              <c16:uniqueId val="{00000002-74EB-4EB2-A2FF-952FD7777131}"/>
            </c:ext>
          </c:extLst>
        </c:ser>
        <c:dLbls>
          <c:showLegendKey val="0"/>
          <c:showVal val="0"/>
          <c:showCatName val="0"/>
          <c:showSerName val="0"/>
          <c:showPercent val="0"/>
          <c:showBubbleSize val="0"/>
        </c:dLbls>
        <c:gapWidth val="150"/>
        <c:shape val="box"/>
        <c:axId val="301326544"/>
        <c:axId val="301327024"/>
        <c:axId val="0"/>
      </c:bar3DChart>
      <c:catAx>
        <c:axId val="30132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7024"/>
        <c:crosses val="autoZero"/>
        <c:auto val="1"/>
        <c:lblAlgn val="ctr"/>
        <c:lblOffset val="100"/>
        <c:noMultiLvlLbl val="0"/>
      </c:catAx>
      <c:valAx>
        <c:axId val="30132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6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[Hospital_Equipment_Analysis.csv.xlsx]Sheet12!PivotTable17</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doughnutChart>
        <c:varyColors val="1"/>
        <c:ser>
          <c:idx val="0"/>
          <c:order val="0"/>
          <c:tx>
            <c:strRef>
              <c:f>Sheet12!$AP$5:$AP$6</c:f>
              <c:strCache>
                <c:ptCount val="1"/>
                <c:pt idx="0">
                  <c:v>Operator Unavailable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Sheet12!$AP$7:$AP$13</c:f>
              <c:numCache>
                <c:formatCode>General</c:formatCode>
                <c:ptCount val="4"/>
                <c:pt idx="0">
                  <c:v>3</c:v>
                </c:pt>
                <c:pt idx="1">
                  <c:v>1</c:v>
                </c:pt>
              </c:numCache>
            </c:numRef>
          </c:val>
          <c:extLst>
            <c:ext xmlns:c16="http://schemas.microsoft.com/office/drawing/2014/chart" uri="{C3380CC4-5D6E-409C-BE32-E72D297353CC}">
              <c16:uniqueId val="{00000000-BC91-4AF3-B064-7A95FAE0B2FB}"/>
            </c:ext>
          </c:extLst>
        </c:ser>
        <c:ser>
          <c:idx val="1"/>
          <c:order val="1"/>
          <c:tx>
            <c:strRef>
              <c:f>Sheet12!$AQ$5:$AQ$6</c:f>
              <c:strCache>
                <c:ptCount val="1"/>
                <c:pt idx="0">
                  <c:v>Power Failure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Sheet12!$AQ$7:$AQ$13</c:f>
              <c:numCache>
                <c:formatCode>General</c:formatCode>
                <c:ptCount val="4"/>
                <c:pt idx="0">
                  <c:v>2</c:v>
                </c:pt>
                <c:pt idx="1">
                  <c:v>2</c:v>
                </c:pt>
              </c:numCache>
            </c:numRef>
          </c:val>
          <c:extLst>
            <c:ext xmlns:c16="http://schemas.microsoft.com/office/drawing/2014/chart" uri="{C3380CC4-5D6E-409C-BE32-E72D297353CC}">
              <c16:uniqueId val="{00000001-BC91-4AF3-B064-7A95FAE0B2FB}"/>
            </c:ext>
          </c:extLst>
        </c:ser>
        <c:ser>
          <c:idx val="2"/>
          <c:order val="2"/>
          <c:tx>
            <c:strRef>
              <c:f>Sheet12!$AR$5:$AR$6</c:f>
              <c:strCache>
                <c:ptCount val="1"/>
                <c:pt idx="0">
                  <c:v>Software Glitch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Sheet12!$AR$7:$AR$13</c:f>
              <c:numCache>
                <c:formatCode>General</c:formatCode>
                <c:ptCount val="4"/>
                <c:pt idx="0">
                  <c:v>3</c:v>
                </c:pt>
                <c:pt idx="2">
                  <c:v>1</c:v>
                </c:pt>
                <c:pt idx="3">
                  <c:v>1</c:v>
                </c:pt>
              </c:numCache>
            </c:numRef>
          </c:val>
          <c:extLst>
            <c:ext xmlns:c16="http://schemas.microsoft.com/office/drawing/2014/chart" uri="{C3380CC4-5D6E-409C-BE32-E72D297353CC}">
              <c16:uniqueId val="{00000002-BC91-4AF3-B064-7A95FAE0B2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[Hospital_Equipment_Analysis.csv.xlsx]Sheet12!PivotTable17</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doughnutChart>
        <c:varyColors val="1"/>
        <c:ser>
          <c:idx val="0"/>
          <c:order val="0"/>
          <c:tx>
            <c:strRef>
              <c:f>Sheet12!$AP$5:$AP$6</c:f>
              <c:strCache>
                <c:ptCount val="1"/>
                <c:pt idx="0">
                  <c:v>Operator Unavailable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Sheet12!$AP$7:$AP$13</c:f>
              <c:numCache>
                <c:formatCode>General</c:formatCode>
                <c:ptCount val="4"/>
                <c:pt idx="0">
                  <c:v>3</c:v>
                </c:pt>
                <c:pt idx="1">
                  <c:v>1</c:v>
                </c:pt>
              </c:numCache>
            </c:numRef>
          </c:val>
          <c:extLst>
            <c:ext xmlns:c16="http://schemas.microsoft.com/office/drawing/2014/chart" uri="{C3380CC4-5D6E-409C-BE32-E72D297353CC}">
              <c16:uniqueId val="{00000000-E17E-4881-9E04-BF9D8B6F745F}"/>
            </c:ext>
          </c:extLst>
        </c:ser>
        <c:ser>
          <c:idx val="1"/>
          <c:order val="1"/>
          <c:tx>
            <c:strRef>
              <c:f>Sheet12!$AQ$5:$AQ$6</c:f>
              <c:strCache>
                <c:ptCount val="1"/>
                <c:pt idx="0">
                  <c:v>Power Failure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Sheet12!$AQ$7:$AQ$13</c:f>
              <c:numCache>
                <c:formatCode>General</c:formatCode>
                <c:ptCount val="4"/>
                <c:pt idx="0">
                  <c:v>2</c:v>
                </c:pt>
                <c:pt idx="1">
                  <c:v>2</c:v>
                </c:pt>
              </c:numCache>
            </c:numRef>
          </c:val>
          <c:extLst>
            <c:ext xmlns:c16="http://schemas.microsoft.com/office/drawing/2014/chart" uri="{C3380CC4-5D6E-409C-BE32-E72D297353CC}">
              <c16:uniqueId val="{00000001-E17E-4881-9E04-BF9D8B6F745F}"/>
            </c:ext>
          </c:extLst>
        </c:ser>
        <c:ser>
          <c:idx val="2"/>
          <c:order val="2"/>
          <c:tx>
            <c:strRef>
              <c:f>Sheet12!$AR$5:$AR$6</c:f>
              <c:strCache>
                <c:ptCount val="1"/>
                <c:pt idx="0">
                  <c:v>Software Glitch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Sheet12!$AR$7:$AR$13</c:f>
              <c:numCache>
                <c:formatCode>General</c:formatCode>
                <c:ptCount val="4"/>
                <c:pt idx="0">
                  <c:v>3</c:v>
                </c:pt>
                <c:pt idx="2">
                  <c:v>1</c:v>
                </c:pt>
                <c:pt idx="3">
                  <c:v>1</c:v>
                </c:pt>
              </c:numCache>
            </c:numRef>
          </c:val>
          <c:extLst>
            <c:ext xmlns:c16="http://schemas.microsoft.com/office/drawing/2014/chart" uri="{C3380CC4-5D6E-409C-BE32-E72D297353CC}">
              <c16:uniqueId val="{00000002-E17E-4881-9E04-BF9D8B6F745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[Hospital_Equipment_Analysis.csv.xlsx]Sheet12!PivotTable17</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Sheet12!$AP$5:$AP$6</c:f>
              <c:strCache>
                <c:ptCount val="1"/>
                <c:pt idx="0">
                  <c:v>Operator Unavailable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Sheet12!$AP$7:$AP$13</c:f>
              <c:numCache>
                <c:formatCode>General</c:formatCode>
                <c:ptCount val="4"/>
                <c:pt idx="0">
                  <c:v>3</c:v>
                </c:pt>
                <c:pt idx="1">
                  <c:v>1</c:v>
                </c:pt>
              </c:numCache>
            </c:numRef>
          </c:val>
          <c:extLst>
            <c:ext xmlns:c16="http://schemas.microsoft.com/office/drawing/2014/chart" uri="{C3380CC4-5D6E-409C-BE32-E72D297353CC}">
              <c16:uniqueId val="{00000000-518E-40A8-AE1D-C2E7FCE94B38}"/>
            </c:ext>
          </c:extLst>
        </c:ser>
        <c:ser>
          <c:idx val="1"/>
          <c:order val="1"/>
          <c:tx>
            <c:strRef>
              <c:f>Sheet12!$AQ$5:$AQ$6</c:f>
              <c:strCache>
                <c:ptCount val="1"/>
                <c:pt idx="0">
                  <c:v>Power Failure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Sheet12!$AQ$7:$AQ$13</c:f>
              <c:numCache>
                <c:formatCode>General</c:formatCode>
                <c:ptCount val="4"/>
                <c:pt idx="0">
                  <c:v>2</c:v>
                </c:pt>
                <c:pt idx="1">
                  <c:v>2</c:v>
                </c:pt>
              </c:numCache>
            </c:numRef>
          </c:val>
          <c:extLst>
            <c:ext xmlns:c16="http://schemas.microsoft.com/office/drawing/2014/chart" uri="{C3380CC4-5D6E-409C-BE32-E72D297353CC}">
              <c16:uniqueId val="{00000001-518E-40A8-AE1D-C2E7FCE94B38}"/>
            </c:ext>
          </c:extLst>
        </c:ser>
        <c:ser>
          <c:idx val="2"/>
          <c:order val="2"/>
          <c:tx>
            <c:strRef>
              <c:f>Sheet12!$AR$5:$AR$6</c:f>
              <c:strCache>
                <c:ptCount val="1"/>
                <c:pt idx="0">
                  <c:v>Software Glitch</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Sheet12!$AR$7:$AR$13</c:f>
              <c:numCache>
                <c:formatCode>General</c:formatCode>
                <c:ptCount val="4"/>
                <c:pt idx="0">
                  <c:v>3</c:v>
                </c:pt>
                <c:pt idx="2">
                  <c:v>1</c:v>
                </c:pt>
                <c:pt idx="3">
                  <c:v>1</c:v>
                </c:pt>
              </c:numCache>
            </c:numRef>
          </c:val>
          <c:extLst>
            <c:ext xmlns:c16="http://schemas.microsoft.com/office/drawing/2014/chart" uri="{C3380CC4-5D6E-409C-BE32-E72D297353CC}">
              <c16:uniqueId val="{00000002-518E-40A8-AE1D-C2E7FCE94B3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[Hospital_Equipment_Analysis.csv.xlsx]Sheet12!PivotTable11</c:name>
    <c:fmtId val="39"/>
  </c:pivotSource>
  <c:chart>
    <c:autoTitleDeleted val="1"/>
    <c:pivotFmts>
      <c:pivotFmt>
        <c:idx val="0"/>
        <c:dLbl>
          <c:idx val="0"/>
          <c:showLegendKey val="1"/>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1554027773679575E-2"/>
              <c:y val="9.224477550665941E-2"/>
            </c:manualLayout>
          </c:layout>
          <c:showLegendKey val="1"/>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66614985555216E-2"/>
              <c:y val="-0.12031927239999053"/>
            </c:manualLayout>
          </c:layout>
          <c:showLegendKey val="1"/>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1"/>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10956130313702"/>
          <c:y val="0.25068335730308339"/>
          <c:w val="0.23998954506432757"/>
          <c:h val="0.43806337794172778"/>
        </c:manualLayout>
      </c:layout>
      <c:barChart>
        <c:barDir val="col"/>
        <c:grouping val="clustered"/>
        <c:varyColors val="0"/>
        <c:ser>
          <c:idx val="0"/>
          <c:order val="0"/>
          <c:tx>
            <c:strRef>
              <c:f>Sheet12!$B$4</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Sheet12!$A$5:$A$7</c:f>
              <c:strCache>
                <c:ptCount val="2"/>
                <c:pt idx="0">
                  <c:v>EQ002</c:v>
                </c:pt>
                <c:pt idx="1">
                  <c:v>EQ007</c:v>
                </c:pt>
              </c:strCache>
            </c:strRef>
          </c:cat>
          <c:val>
            <c:numRef>
              <c:f>Sheet12!$B$5:$B$7</c:f>
              <c:numCache>
                <c:formatCode>General</c:formatCode>
                <c:ptCount val="2"/>
                <c:pt idx="0">
                  <c:v>623.76</c:v>
                </c:pt>
                <c:pt idx="1">
                  <c:v>541.82000000000005</c:v>
                </c:pt>
              </c:numCache>
            </c:numRef>
          </c:val>
          <c:extLst>
            <c:ext xmlns:c16="http://schemas.microsoft.com/office/drawing/2014/chart" uri="{C3380CC4-5D6E-409C-BE32-E72D297353CC}">
              <c16:uniqueId val="{00000000-2339-4119-9DBF-413AE25622D3}"/>
            </c:ext>
          </c:extLst>
        </c:ser>
        <c:dLbls>
          <c:dLblPos val="outEnd"/>
          <c:showLegendKey val="0"/>
          <c:showVal val="1"/>
          <c:showCatName val="0"/>
          <c:showSerName val="0"/>
          <c:showPercent val="0"/>
          <c:showBubbleSize val="0"/>
        </c:dLbls>
        <c:gapWidth val="444"/>
        <c:overlap val="-90"/>
        <c:axId val="475151040"/>
        <c:axId val="475155840"/>
      </c:barChart>
      <c:catAx>
        <c:axId val="47515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475155840"/>
        <c:crosses val="autoZero"/>
        <c:auto val="1"/>
        <c:lblAlgn val="ctr"/>
        <c:lblOffset val="100"/>
        <c:noMultiLvlLbl val="0"/>
      </c:catAx>
      <c:valAx>
        <c:axId val="47515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51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[Hospital_Equipment_Analysis.csv.xlsx]Sheet12!PivotTable15</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202123723917164"/>
          <c:y val="5.5626432184968364E-2"/>
          <c:w val="0.7005950851657462"/>
          <c:h val="0.86877906282558948"/>
        </c:manualLayout>
      </c:layout>
      <c:bar3DChart>
        <c:barDir val="bar"/>
        <c:grouping val="clustered"/>
        <c:varyColors val="0"/>
        <c:ser>
          <c:idx val="0"/>
          <c:order val="0"/>
          <c:tx>
            <c:strRef>
              <c:f>Sheet12!$CV$5:$CV$7</c:f>
              <c:strCache>
                <c:ptCount val="1"/>
                <c:pt idx="0">
                  <c:v>Sum of Scheduled_Hours - General Ward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Sheet12!$CV$8:$CV$10</c:f>
              <c:numCache>
                <c:formatCode>General</c:formatCode>
                <c:ptCount val="2"/>
                <c:pt idx="0">
                  <c:v>23.4</c:v>
                </c:pt>
                <c:pt idx="1">
                  <c:v>11.2</c:v>
                </c:pt>
              </c:numCache>
            </c:numRef>
          </c:val>
          <c:extLst>
            <c:ext xmlns:c16="http://schemas.microsoft.com/office/drawing/2014/chart" uri="{C3380CC4-5D6E-409C-BE32-E72D297353CC}">
              <c16:uniqueId val="{00000000-46A2-43DE-84DE-1D7F07C39192}"/>
            </c:ext>
          </c:extLst>
        </c:ser>
        <c:ser>
          <c:idx val="1"/>
          <c:order val="1"/>
          <c:tx>
            <c:strRef>
              <c:f>Sheet12!$CW$5:$CW$7</c:f>
              <c:strCache>
                <c:ptCount val="1"/>
                <c:pt idx="0">
                  <c:v>Sum of Scheduled_Hours - ICU</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Sheet12!$CW$8:$CW$10</c:f>
              <c:numCache>
                <c:formatCode>General</c:formatCode>
                <c:ptCount val="2"/>
                <c:pt idx="0">
                  <c:v>23.6</c:v>
                </c:pt>
                <c:pt idx="1">
                  <c:v>28.4</c:v>
                </c:pt>
              </c:numCache>
            </c:numRef>
          </c:val>
          <c:extLst>
            <c:ext xmlns:c16="http://schemas.microsoft.com/office/drawing/2014/chart" uri="{C3380CC4-5D6E-409C-BE32-E72D297353CC}">
              <c16:uniqueId val="{00000001-46A2-43DE-84DE-1D7F07C39192}"/>
            </c:ext>
          </c:extLst>
        </c:ser>
        <c:ser>
          <c:idx val="2"/>
          <c:order val="2"/>
          <c:tx>
            <c:strRef>
              <c:f>Sheet12!$CX$5:$CX$7</c:f>
              <c:strCache>
                <c:ptCount val="1"/>
                <c:pt idx="0">
                  <c:v>Sum of Scheduled_Hours - Nephrology</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Sheet12!$CX$8:$CX$10</c:f>
              <c:numCache>
                <c:formatCode>General</c:formatCode>
                <c:ptCount val="2"/>
                <c:pt idx="0">
                  <c:v>20.2</c:v>
                </c:pt>
                <c:pt idx="1">
                  <c:v>19.3</c:v>
                </c:pt>
              </c:numCache>
            </c:numRef>
          </c:val>
          <c:extLst>
            <c:ext xmlns:c16="http://schemas.microsoft.com/office/drawing/2014/chart" uri="{C3380CC4-5D6E-409C-BE32-E72D297353CC}">
              <c16:uniqueId val="{00000002-46A2-43DE-84DE-1D7F07C39192}"/>
            </c:ext>
          </c:extLst>
        </c:ser>
        <c:ser>
          <c:idx val="3"/>
          <c:order val="3"/>
          <c:tx>
            <c:strRef>
              <c:f>Sheet12!$CY$5:$CY$7</c:f>
              <c:strCache>
                <c:ptCount val="1"/>
                <c:pt idx="0">
                  <c:v>Sum of Scheduled_Hours - OT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Sheet12!$CY$8:$CY$10</c:f>
              <c:numCache>
                <c:formatCode>General</c:formatCode>
                <c:ptCount val="2"/>
                <c:pt idx="1">
                  <c:v>10.5</c:v>
                </c:pt>
              </c:numCache>
            </c:numRef>
          </c:val>
          <c:extLst>
            <c:ext xmlns:c16="http://schemas.microsoft.com/office/drawing/2014/chart" uri="{C3380CC4-5D6E-409C-BE32-E72D297353CC}">
              <c16:uniqueId val="{00000001-41AE-4418-B1CA-D567A9E6FB79}"/>
            </c:ext>
          </c:extLst>
        </c:ser>
        <c:ser>
          <c:idx val="4"/>
          <c:order val="4"/>
          <c:tx>
            <c:strRef>
              <c:f>Sheet12!$CZ$5:$CZ$7</c:f>
              <c:strCache>
                <c:ptCount val="1"/>
                <c:pt idx="0">
                  <c:v>Sum of Actual_Usage_Hours - General Ward</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Sheet12!$CZ$8:$CZ$10</c:f>
              <c:numCache>
                <c:formatCode>General</c:formatCode>
                <c:ptCount val="2"/>
                <c:pt idx="0">
                  <c:v>16.5</c:v>
                </c:pt>
                <c:pt idx="1">
                  <c:v>9.9</c:v>
                </c:pt>
              </c:numCache>
            </c:numRef>
          </c:val>
          <c:extLst>
            <c:ext xmlns:c16="http://schemas.microsoft.com/office/drawing/2014/chart" uri="{C3380CC4-5D6E-409C-BE32-E72D297353CC}">
              <c16:uniqueId val="{00000002-41AE-4418-B1CA-D567A9E6FB79}"/>
            </c:ext>
          </c:extLst>
        </c:ser>
        <c:ser>
          <c:idx val="5"/>
          <c:order val="5"/>
          <c:tx>
            <c:strRef>
              <c:f>Sheet12!$DA$5:$DA$7</c:f>
              <c:strCache>
                <c:ptCount val="1"/>
                <c:pt idx="0">
                  <c:v>Sum of Actual_Usage_Hours - ICU</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Sheet12!$DA$8:$DA$10</c:f>
              <c:numCache>
                <c:formatCode>General</c:formatCode>
                <c:ptCount val="2"/>
                <c:pt idx="0">
                  <c:v>16.399999999999999</c:v>
                </c:pt>
                <c:pt idx="1">
                  <c:v>20.8</c:v>
                </c:pt>
              </c:numCache>
            </c:numRef>
          </c:val>
          <c:extLst>
            <c:ext xmlns:c16="http://schemas.microsoft.com/office/drawing/2014/chart" uri="{C3380CC4-5D6E-409C-BE32-E72D297353CC}">
              <c16:uniqueId val="{00000003-41AE-4418-B1CA-D567A9E6FB79}"/>
            </c:ext>
          </c:extLst>
        </c:ser>
        <c:ser>
          <c:idx val="6"/>
          <c:order val="6"/>
          <c:tx>
            <c:strRef>
              <c:f>Sheet12!$DB$5:$DB$7</c:f>
              <c:strCache>
                <c:ptCount val="1"/>
                <c:pt idx="0">
                  <c:v>Sum of Actual_Usage_Hours - Nephrology</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Sheet12!$DB$8:$DB$10</c:f>
              <c:numCache>
                <c:formatCode>General</c:formatCode>
                <c:ptCount val="2"/>
                <c:pt idx="0">
                  <c:v>13.7</c:v>
                </c:pt>
                <c:pt idx="1">
                  <c:v>15.6</c:v>
                </c:pt>
              </c:numCache>
            </c:numRef>
          </c:val>
          <c:extLst>
            <c:ext xmlns:c16="http://schemas.microsoft.com/office/drawing/2014/chart" uri="{C3380CC4-5D6E-409C-BE32-E72D297353CC}">
              <c16:uniqueId val="{00000004-41AE-4418-B1CA-D567A9E6FB79}"/>
            </c:ext>
          </c:extLst>
        </c:ser>
        <c:ser>
          <c:idx val="7"/>
          <c:order val="7"/>
          <c:tx>
            <c:strRef>
              <c:f>Sheet12!$DC$5:$DC$7</c:f>
              <c:strCache>
                <c:ptCount val="1"/>
                <c:pt idx="0">
                  <c:v>Sum of Actual_Usage_Hours - OT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Sheet12!$DC$8:$DC$10</c:f>
              <c:numCache>
                <c:formatCode>General</c:formatCode>
                <c:ptCount val="2"/>
                <c:pt idx="1">
                  <c:v>7.8</c:v>
                </c:pt>
              </c:numCache>
            </c:numRef>
          </c:val>
          <c:extLst>
            <c:ext xmlns:c16="http://schemas.microsoft.com/office/drawing/2014/chart" uri="{C3380CC4-5D6E-409C-BE32-E72D297353CC}">
              <c16:uniqueId val="{00000005-41AE-4418-B1CA-D567A9E6FB79}"/>
            </c:ext>
          </c:extLst>
        </c:ser>
        <c:ser>
          <c:idx val="8"/>
          <c:order val="8"/>
          <c:tx>
            <c:strRef>
              <c:f>Sheet12!$DD$5:$DD$7</c:f>
              <c:strCache>
                <c:ptCount val="1"/>
                <c:pt idx="0">
                  <c:v>Sum of Downtime_Hours - General Ward</c:v>
                </c:pt>
              </c:strCache>
            </c:strRef>
          </c:tx>
          <c:spPr>
            <a:solidFill>
              <a:schemeClr val="accent3">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Sheet12!$DD$8:$DD$10</c:f>
              <c:numCache>
                <c:formatCode>General</c:formatCode>
                <c:ptCount val="2"/>
                <c:pt idx="0">
                  <c:v>5.5</c:v>
                </c:pt>
                <c:pt idx="1">
                  <c:v>1</c:v>
                </c:pt>
              </c:numCache>
            </c:numRef>
          </c:val>
          <c:extLst>
            <c:ext xmlns:c16="http://schemas.microsoft.com/office/drawing/2014/chart" uri="{C3380CC4-5D6E-409C-BE32-E72D297353CC}">
              <c16:uniqueId val="{00000006-41AE-4418-B1CA-D567A9E6FB79}"/>
            </c:ext>
          </c:extLst>
        </c:ser>
        <c:ser>
          <c:idx val="9"/>
          <c:order val="9"/>
          <c:tx>
            <c:strRef>
              <c:f>Sheet12!$DE$5:$DE$7</c:f>
              <c:strCache>
                <c:ptCount val="1"/>
                <c:pt idx="0">
                  <c:v>Sum of Downtime_Hours - ICU</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Sheet12!$DE$8:$DE$10</c:f>
              <c:numCache>
                <c:formatCode>General</c:formatCode>
                <c:ptCount val="2"/>
                <c:pt idx="0">
                  <c:v>5.4</c:v>
                </c:pt>
                <c:pt idx="1">
                  <c:v>5.9</c:v>
                </c:pt>
              </c:numCache>
            </c:numRef>
          </c:val>
          <c:extLst>
            <c:ext xmlns:c16="http://schemas.microsoft.com/office/drawing/2014/chart" uri="{C3380CC4-5D6E-409C-BE32-E72D297353CC}">
              <c16:uniqueId val="{00000000-5506-4EF2-87DA-2BF56E5BFAA6}"/>
            </c:ext>
          </c:extLst>
        </c:ser>
        <c:ser>
          <c:idx val="10"/>
          <c:order val="10"/>
          <c:tx>
            <c:strRef>
              <c:f>Sheet12!$DF$5:$DF$7</c:f>
              <c:strCache>
                <c:ptCount val="1"/>
                <c:pt idx="0">
                  <c:v>Sum of Downtime_Hours - Nephrology</c:v>
                </c:pt>
              </c:strCache>
            </c:strRef>
          </c:tx>
          <c:spPr>
            <a:solidFill>
              <a:schemeClr val="accent5">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Sheet12!$DF$8:$DF$10</c:f>
              <c:numCache>
                <c:formatCode>General</c:formatCode>
                <c:ptCount val="2"/>
                <c:pt idx="0">
                  <c:v>5.7</c:v>
                </c:pt>
                <c:pt idx="1">
                  <c:v>2.4</c:v>
                </c:pt>
              </c:numCache>
            </c:numRef>
          </c:val>
          <c:extLst>
            <c:ext xmlns:c16="http://schemas.microsoft.com/office/drawing/2014/chart" uri="{C3380CC4-5D6E-409C-BE32-E72D297353CC}">
              <c16:uniqueId val="{00000001-5506-4EF2-87DA-2BF56E5BFAA6}"/>
            </c:ext>
          </c:extLst>
        </c:ser>
        <c:ser>
          <c:idx val="11"/>
          <c:order val="11"/>
          <c:tx>
            <c:strRef>
              <c:f>Sheet12!$DG$5:$DG$7</c:f>
              <c:strCache>
                <c:ptCount val="1"/>
                <c:pt idx="0">
                  <c:v>Sum of Downtime_Hours - OT</c:v>
                </c:pt>
              </c:strCache>
            </c:strRef>
          </c:tx>
          <c:spPr>
            <a:solidFill>
              <a:schemeClr val="accent6">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Sheet12!$CU$8:$CU$10</c:f>
              <c:strCache>
                <c:ptCount val="2"/>
                <c:pt idx="0">
                  <c:v>CT Scanner</c:v>
                </c:pt>
                <c:pt idx="1">
                  <c:v>Defibrillator</c:v>
                </c:pt>
              </c:strCache>
            </c:strRef>
          </c:cat>
          <c:val>
            <c:numRef>
              <c:f>Sheet12!$DG$8:$DG$10</c:f>
              <c:numCache>
                <c:formatCode>General</c:formatCode>
                <c:ptCount val="2"/>
                <c:pt idx="1">
                  <c:v>2.7</c:v>
                </c:pt>
              </c:numCache>
            </c:numRef>
          </c:val>
          <c:extLst>
            <c:ext xmlns:c16="http://schemas.microsoft.com/office/drawing/2014/chart" uri="{C3380CC4-5D6E-409C-BE32-E72D297353CC}">
              <c16:uniqueId val="{00000002-5506-4EF2-87DA-2BF56E5BFAA6}"/>
            </c:ext>
          </c:extLst>
        </c:ser>
        <c:dLbls>
          <c:showLegendKey val="0"/>
          <c:showVal val="1"/>
          <c:showCatName val="0"/>
          <c:showSerName val="0"/>
          <c:showPercent val="0"/>
          <c:showBubbleSize val="0"/>
        </c:dLbls>
        <c:gapWidth val="150"/>
        <c:shape val="box"/>
        <c:axId val="301326544"/>
        <c:axId val="301327024"/>
        <c:axId val="0"/>
      </c:bar3DChart>
      <c:catAx>
        <c:axId val="30132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7024"/>
        <c:crosses val="autoZero"/>
        <c:auto val="1"/>
        <c:lblAlgn val="ctr"/>
        <c:lblOffset val="100"/>
        <c:noMultiLvlLbl val="0"/>
      </c:catAx>
      <c:valAx>
        <c:axId val="30132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45986568883889E-2"/>
          <c:y val="0.16236197564417088"/>
          <c:w val="0.71241080844775828"/>
          <c:h val="0.80808402225188847"/>
        </c:manualLayout>
      </c:layout>
      <c:barChart>
        <c:barDir val="col"/>
        <c:grouping val="clustered"/>
        <c:varyColors val="0"/>
        <c:ser>
          <c:idx val="0"/>
          <c:order val="0"/>
          <c:tx>
            <c:strRef>
              <c:f>Sheet12!$AE$5:$AE$6</c:f>
              <c:strCache>
                <c:ptCount val="1"/>
                <c:pt idx="0">
                  <c:v>TECH01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Sheet12!$AE$7:$AE$9</c:f>
              <c:numCache>
                <c:formatCode>General</c:formatCode>
                <c:ptCount val="2"/>
                <c:pt idx="0">
                  <c:v>3.03</c:v>
                </c:pt>
                <c:pt idx="1">
                  <c:v>37.380000000000003</c:v>
                </c:pt>
              </c:numCache>
            </c:numRef>
          </c:val>
          <c:extLst>
            <c:ext xmlns:c16="http://schemas.microsoft.com/office/drawing/2014/chart" uri="{C3380CC4-5D6E-409C-BE32-E72D297353CC}">
              <c16:uniqueId val="{00000000-092F-4F69-943A-40ACA7F51FDC}"/>
            </c:ext>
          </c:extLst>
        </c:ser>
        <c:ser>
          <c:idx val="1"/>
          <c:order val="1"/>
          <c:tx>
            <c:strRef>
              <c:f>Sheet12!$AF$5:$AF$6</c:f>
              <c:strCache>
                <c:ptCount val="1"/>
                <c:pt idx="0">
                  <c:v>TECH02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Sheet12!$AF$7:$AF$9</c:f>
              <c:numCache>
                <c:formatCode>General</c:formatCode>
                <c:ptCount val="2"/>
                <c:pt idx="0">
                  <c:v>3.95</c:v>
                </c:pt>
                <c:pt idx="1">
                  <c:v>34.64</c:v>
                </c:pt>
              </c:numCache>
            </c:numRef>
          </c:val>
          <c:extLst>
            <c:ext xmlns:c16="http://schemas.microsoft.com/office/drawing/2014/chart" uri="{C3380CC4-5D6E-409C-BE32-E72D297353CC}">
              <c16:uniqueId val="{00000001-092F-4F69-943A-40ACA7F51FDC}"/>
            </c:ext>
          </c:extLst>
        </c:ser>
        <c:ser>
          <c:idx val="2"/>
          <c:order val="2"/>
          <c:tx>
            <c:strRef>
              <c:f>Sheet12!$AG$5:$AG$6</c:f>
              <c:strCache>
                <c:ptCount val="1"/>
                <c:pt idx="0">
                  <c:v>TECH03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Sheet12!$AG$7:$AG$9</c:f>
              <c:numCache>
                <c:formatCode>General</c:formatCode>
                <c:ptCount val="2"/>
                <c:pt idx="0">
                  <c:v>34.72</c:v>
                </c:pt>
              </c:numCache>
            </c:numRef>
          </c:val>
          <c:extLst>
            <c:ext xmlns:c16="http://schemas.microsoft.com/office/drawing/2014/chart" uri="{C3380CC4-5D6E-409C-BE32-E72D297353CC}">
              <c16:uniqueId val="{00000001-2A32-40AA-909F-87FC3E323283}"/>
            </c:ext>
          </c:extLst>
        </c:ser>
        <c:ser>
          <c:idx val="3"/>
          <c:order val="3"/>
          <c:tx>
            <c:strRef>
              <c:f>Sheet12!$AH$5:$AH$6</c:f>
              <c:strCache>
                <c:ptCount val="1"/>
                <c:pt idx="0">
                  <c:v>TECH04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Sheet12!$AH$7:$AH$9</c:f>
              <c:numCache>
                <c:formatCode>General</c:formatCode>
                <c:ptCount val="2"/>
                <c:pt idx="0">
                  <c:v>24.74</c:v>
                </c:pt>
                <c:pt idx="1">
                  <c:v>7.83</c:v>
                </c:pt>
              </c:numCache>
            </c:numRef>
          </c:val>
          <c:extLst>
            <c:ext xmlns:c16="http://schemas.microsoft.com/office/drawing/2014/chart" uri="{C3380CC4-5D6E-409C-BE32-E72D297353CC}">
              <c16:uniqueId val="{00000002-2A32-40AA-909F-87FC3E323283}"/>
            </c:ext>
          </c:extLst>
        </c:ser>
        <c:ser>
          <c:idx val="4"/>
          <c:order val="4"/>
          <c:tx>
            <c:strRef>
              <c:f>Sheet12!$AI$5:$AI$6</c:f>
              <c:strCache>
                <c:ptCount val="1"/>
                <c:pt idx="0">
                  <c:v>TECH05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Sheet12!$AI$7:$AI$9</c:f>
              <c:numCache>
                <c:formatCode>General</c:formatCode>
                <c:ptCount val="2"/>
                <c:pt idx="0">
                  <c:v>30.14</c:v>
                </c:pt>
                <c:pt idx="1">
                  <c:v>25</c:v>
                </c:pt>
              </c:numCache>
            </c:numRef>
          </c:val>
          <c:extLst>
            <c:ext xmlns:c16="http://schemas.microsoft.com/office/drawing/2014/chart" uri="{C3380CC4-5D6E-409C-BE32-E72D297353CC}">
              <c16:uniqueId val="{00000003-2A32-40AA-909F-87FC3E323283}"/>
            </c:ext>
          </c:extLst>
        </c:ser>
        <c:ser>
          <c:idx val="5"/>
          <c:order val="5"/>
          <c:tx>
            <c:strRef>
              <c:f>Sheet12!$AJ$5:$AJ$6</c:f>
              <c:strCache>
                <c:ptCount val="1"/>
                <c:pt idx="0">
                  <c:v>TECH06</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Sheet12!$AJ$7:$AJ$9</c:f>
              <c:numCache>
                <c:formatCode>General</c:formatCode>
                <c:ptCount val="2"/>
                <c:pt idx="0">
                  <c:v>62.28</c:v>
                </c:pt>
                <c:pt idx="1">
                  <c:v>19.23</c:v>
                </c:pt>
              </c:numCache>
            </c:numRef>
          </c:val>
          <c:extLst>
            <c:ext xmlns:c16="http://schemas.microsoft.com/office/drawing/2014/chart" uri="{C3380CC4-5D6E-409C-BE32-E72D297353CC}">
              <c16:uniqueId val="{00000004-2A32-40AA-909F-87FC3E323283}"/>
            </c:ext>
          </c:extLst>
        </c:ser>
        <c:ser>
          <c:idx val="6"/>
          <c:order val="6"/>
          <c:tx>
            <c:strRef>
              <c:f>Sheet12!$AK$5:$AK$6</c:f>
              <c:strCache>
                <c:ptCount val="1"/>
                <c:pt idx="0">
                  <c:v>TECH07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Sheet12!$AK$7:$AK$9</c:f>
              <c:numCache>
                <c:formatCode>General</c:formatCode>
                <c:ptCount val="2"/>
                <c:pt idx="0">
                  <c:v>38.36</c:v>
                </c:pt>
              </c:numCache>
            </c:numRef>
          </c:val>
          <c:extLst>
            <c:ext xmlns:c16="http://schemas.microsoft.com/office/drawing/2014/chart" uri="{C3380CC4-5D6E-409C-BE32-E72D297353CC}">
              <c16:uniqueId val="{00000005-2A32-40AA-909F-87FC3E323283}"/>
            </c:ext>
          </c:extLst>
        </c:ser>
        <c:ser>
          <c:idx val="7"/>
          <c:order val="7"/>
          <c:tx>
            <c:strRef>
              <c:f>Sheet12!$AL$5:$AL$6</c:f>
              <c:strCache>
                <c:ptCount val="1"/>
                <c:pt idx="0">
                  <c:v>TECH08</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Sheet12!$AD$7:$AD$9</c:f>
              <c:strCache>
                <c:ptCount val="2"/>
                <c:pt idx="0">
                  <c:v>CT Scanner</c:v>
                </c:pt>
                <c:pt idx="1">
                  <c:v>Defibrillator</c:v>
                </c:pt>
              </c:strCache>
            </c:strRef>
          </c:cat>
          <c:val>
            <c:numRef>
              <c:f>Sheet12!$AL$7:$AL$9</c:f>
              <c:numCache>
                <c:formatCode>General</c:formatCode>
                <c:ptCount val="2"/>
                <c:pt idx="0">
                  <c:v>22.95</c:v>
                </c:pt>
              </c:numCache>
            </c:numRef>
          </c:val>
          <c:extLst>
            <c:ext xmlns:c16="http://schemas.microsoft.com/office/drawing/2014/chart" uri="{C3380CC4-5D6E-409C-BE32-E72D297353CC}">
              <c16:uniqueId val="{00000006-2A32-40AA-909F-87FC3E323283}"/>
            </c:ext>
          </c:extLst>
        </c:ser>
        <c:dLbls>
          <c:dLblPos val="outEnd"/>
          <c:showLegendKey val="0"/>
          <c:showVal val="1"/>
          <c:showCatName val="0"/>
          <c:showSerName val="0"/>
          <c:showPercent val="0"/>
          <c:showBubbleSize val="0"/>
        </c:dLbls>
        <c:gapWidth val="219"/>
        <c:overlap val="-27"/>
        <c:axId val="473135999"/>
        <c:axId val="473136479"/>
      </c:barChart>
      <c:catAx>
        <c:axId val="4731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36479"/>
        <c:crosses val="autoZero"/>
        <c:auto val="1"/>
        <c:lblAlgn val="ctr"/>
        <c:lblOffset val="100"/>
        <c:noMultiLvlLbl val="0"/>
      </c:catAx>
      <c:valAx>
        <c:axId val="47313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3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648437370015474"/>
          <c:y val="6.2348476461221408E-2"/>
          <c:w val="0.78737892391111974"/>
          <c:h val="0.57386743783814742"/>
        </c:manualLayout>
      </c:layout>
      <c:bar3DChart>
        <c:barDir val="col"/>
        <c:grouping val="stacked"/>
        <c:varyColors val="0"/>
        <c:ser>
          <c:idx val="0"/>
          <c:order val="0"/>
          <c:tx>
            <c:strRef>
              <c:f>Sheet12!$U$4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Sheet12!$T$5:$T$9</c:f>
              <c:strCache>
                <c:ptCount val="4"/>
                <c:pt idx="0">
                  <c:v>General Ward</c:v>
                </c:pt>
                <c:pt idx="1">
                  <c:v>ICU</c:v>
                </c:pt>
                <c:pt idx="2">
                  <c:v>Nephrology</c:v>
                </c:pt>
                <c:pt idx="3">
                  <c:v>OT</c:v>
                </c:pt>
              </c:strCache>
            </c:strRef>
          </c:cat>
          <c:val>
            <c:numRef>
              <c:f>Sheet12!$U$5:$U$9</c:f>
              <c:numCache>
                <c:formatCode>General</c:formatCode>
                <c:ptCount val="4"/>
                <c:pt idx="0">
                  <c:v>8.1999999999999993</c:v>
                </c:pt>
                <c:pt idx="1">
                  <c:v>14.8</c:v>
                </c:pt>
                <c:pt idx="2">
                  <c:v>10.199999999999999</c:v>
                </c:pt>
                <c:pt idx="3">
                  <c:v>2.7</c:v>
                </c:pt>
              </c:numCache>
            </c:numRef>
          </c:val>
          <c:extLst>
            <c:ext xmlns:c16="http://schemas.microsoft.com/office/drawing/2014/chart" uri="{C3380CC4-5D6E-409C-BE32-E72D297353CC}">
              <c16:uniqueId val="{00000000-8388-4BF0-89CD-11D35E43CDDD}"/>
            </c:ext>
          </c:extLst>
        </c:ser>
        <c:dLbls>
          <c:showLegendKey val="0"/>
          <c:showVal val="0"/>
          <c:showCatName val="0"/>
          <c:showSerName val="0"/>
          <c:showPercent val="0"/>
          <c:showBubbleSize val="0"/>
        </c:dLbls>
        <c:gapWidth val="150"/>
        <c:shape val="box"/>
        <c:axId val="172123503"/>
        <c:axId val="172134063"/>
        <c:axId val="0"/>
      </c:bar3DChart>
      <c:catAx>
        <c:axId val="17212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4063"/>
        <c:crosses val="autoZero"/>
        <c:auto val="1"/>
        <c:lblAlgn val="ctr"/>
        <c:lblOffset val="100"/>
        <c:noMultiLvlLbl val="0"/>
      </c:catAx>
      <c:valAx>
        <c:axId val="17213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[Hospital_Equipment_Analysis.csv.xlsx]Sheet12!PivotTable17</c:name>
    <c:fmtId val="4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pivotFmt>
      <c:pivotFmt>
        <c:idx val="45"/>
      </c:pivotFmt>
      <c:pivotFmt>
        <c:idx val="46"/>
      </c:pivotFmt>
      <c:pivotFmt>
        <c:idx val="4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8"/>
      </c:pivotFmt>
      <c:pivotFmt>
        <c:idx val="49"/>
      </c:pivotFmt>
      <c:pivotFmt>
        <c:idx val="50"/>
      </c:pivotFmt>
      <c:pivotFmt>
        <c:idx val="5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2"/>
      </c:pivotFmt>
      <c:pivotFmt>
        <c:idx val="53"/>
      </c:pivotFmt>
      <c:pivotFmt>
        <c:idx val="54"/>
      </c:pivotFmt>
      <c:pivotFmt>
        <c:idx val="5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6"/>
      </c:pivotFmt>
      <c:pivotFmt>
        <c:idx val="57"/>
      </c:pivotFmt>
      <c:pivotFmt>
        <c:idx val="58"/>
      </c:pivotFmt>
      <c:pivotFmt>
        <c:idx val="5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0"/>
      </c:pivotFmt>
      <c:pivotFmt>
        <c:idx val="61"/>
      </c:pivotFmt>
      <c:pivotFmt>
        <c:idx val="62"/>
      </c:pivotFmt>
      <c:pivotFmt>
        <c:idx val="6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4"/>
      </c:pivotFmt>
      <c:pivotFmt>
        <c:idx val="65"/>
      </c:pivotFmt>
      <c:pivotFmt>
        <c:idx val="66"/>
      </c:pivotFmt>
      <c:pivotFmt>
        <c:idx val="67"/>
        <c:dLbl>
          <c:idx val="0"/>
          <c:showLegendKey val="0"/>
          <c:showVal val="0"/>
          <c:showCatName val="1"/>
          <c:showSerName val="0"/>
          <c:showPercent val="1"/>
          <c:showBubbleSize val="0"/>
          <c:extLst>
            <c:ext xmlns:c15="http://schemas.microsoft.com/office/drawing/2012/chart" uri="{CE6537A1-D6FC-4f65-9D91-7224C49458BB}"/>
          </c:extLst>
        </c:dLbl>
      </c:pivotFmt>
      <c:pivotFmt>
        <c:idx val="68"/>
        <c:dLbl>
          <c:idx val="0"/>
          <c:showLegendKey val="0"/>
          <c:showVal val="0"/>
          <c:showCatName val="1"/>
          <c:showSerName val="0"/>
          <c:showPercent val="1"/>
          <c:showBubbleSize val="0"/>
          <c:extLst>
            <c:ext xmlns:c15="http://schemas.microsoft.com/office/drawing/2012/chart" uri="{CE6537A1-D6FC-4f65-9D91-7224C49458BB}"/>
          </c:extLst>
        </c:dLbl>
      </c:pivotFmt>
      <c:pivotFmt>
        <c:idx val="69"/>
        <c:dLbl>
          <c:idx val="0"/>
          <c:showLegendKey val="0"/>
          <c:showVal val="0"/>
          <c:showCatName val="1"/>
          <c:showSerName val="0"/>
          <c:showPercent val="1"/>
          <c:showBubbleSize val="0"/>
          <c:extLst>
            <c:ext xmlns:c15="http://schemas.microsoft.com/office/drawing/2012/chart" uri="{CE6537A1-D6FC-4f65-9D91-7224C49458BB}"/>
          </c:extLst>
        </c:dLbl>
      </c:pivotFmt>
      <c:pivotFmt>
        <c:idx val="70"/>
      </c:pivotFmt>
      <c:pivotFmt>
        <c:idx val="71"/>
      </c:pivotFmt>
      <c:pivotFmt>
        <c:idx val="72"/>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pivotFmt>
      <c:pivotFmt>
        <c:idx val="75"/>
        <c:dLbl>
          <c:idx val="0"/>
          <c:layout>
            <c:manualLayout>
              <c:x val="-0.21790733691855127"/>
              <c:y val="-0.142111331780586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layout>
            <c:manualLayout>
              <c:x val="7.357848007839006E-2"/>
              <c:y val="-5.05423418800742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dLbl>
          <c:idx val="0"/>
          <c:layout>
            <c:manualLayout>
              <c:x val="-4.8406894788414603E-2"/>
              <c:y val="-0.114562641594835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dLbl>
          <c:idx val="0"/>
          <c:layout>
            <c:manualLayout>
              <c:x val="-0.10455889274297558"/>
              <c:y val="-3.3694894586716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18"/>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2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27"/>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29"/>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3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3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33"/>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45336528315655"/>
          <c:y val="0.21191482541381335"/>
          <c:w val="0.39234470144722111"/>
          <c:h val="0.66661031101597867"/>
        </c:manualLayout>
      </c:layout>
      <c:pie3DChart>
        <c:varyColors val="1"/>
        <c:ser>
          <c:idx val="0"/>
          <c:order val="0"/>
          <c:tx>
            <c:strRef>
              <c:f>Sheet12!$AP$5:$AP$6</c:f>
              <c:strCache>
                <c:ptCount val="1"/>
                <c:pt idx="0">
                  <c:v>Operator Unavailable</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Pt>
            <c:idx val="3"/>
            <c:bubble3D val="0"/>
            <c:spPr>
              <a:solidFill>
                <a:schemeClr val="accent4"/>
              </a:solidFill>
              <a:ln w="19050">
                <a:solidFill>
                  <a:schemeClr val="lt1"/>
                </a:solidFill>
              </a:ln>
              <a:effectLst/>
              <a:sp3d contourW="1905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Sheet12!$AP$7:$AP$13</c:f>
              <c:numCache>
                <c:formatCode>General</c:formatCode>
                <c:ptCount val="4"/>
                <c:pt idx="0">
                  <c:v>3</c:v>
                </c:pt>
                <c:pt idx="1">
                  <c:v>1</c:v>
                </c:pt>
              </c:numCache>
            </c:numRef>
          </c:val>
          <c:extLst>
            <c:ext xmlns:c16="http://schemas.microsoft.com/office/drawing/2014/chart" uri="{C3380CC4-5D6E-409C-BE32-E72D297353CC}">
              <c16:uniqueId val="{00000000-F495-4B47-BA2B-C28EA728F7D6}"/>
            </c:ext>
          </c:extLst>
        </c:ser>
        <c:ser>
          <c:idx val="1"/>
          <c:order val="1"/>
          <c:tx>
            <c:strRef>
              <c:f>Sheet12!$AQ$5:$AQ$6</c:f>
              <c:strCache>
                <c:ptCount val="1"/>
                <c:pt idx="0">
                  <c:v>Power Failure</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Pt>
            <c:idx val="3"/>
            <c:bubble3D val="0"/>
            <c:spPr>
              <a:solidFill>
                <a:schemeClr val="accent4"/>
              </a:solidFill>
              <a:ln w="19050">
                <a:solidFill>
                  <a:schemeClr val="lt1"/>
                </a:solidFill>
              </a:ln>
              <a:effectLst/>
              <a:sp3d contourW="1905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Sheet12!$AQ$7:$AQ$13</c:f>
              <c:numCache>
                <c:formatCode>General</c:formatCode>
                <c:ptCount val="4"/>
                <c:pt idx="0">
                  <c:v>2</c:v>
                </c:pt>
                <c:pt idx="1">
                  <c:v>2</c:v>
                </c:pt>
              </c:numCache>
            </c:numRef>
          </c:val>
          <c:extLst>
            <c:ext xmlns:c16="http://schemas.microsoft.com/office/drawing/2014/chart" uri="{C3380CC4-5D6E-409C-BE32-E72D297353CC}">
              <c16:uniqueId val="{00000001-F495-4B47-BA2B-C28EA728F7D6}"/>
            </c:ext>
          </c:extLst>
        </c:ser>
        <c:ser>
          <c:idx val="2"/>
          <c:order val="2"/>
          <c:tx>
            <c:strRef>
              <c:f>Sheet12!$AR$5:$AR$6</c:f>
              <c:strCache>
                <c:ptCount val="1"/>
                <c:pt idx="0">
                  <c:v>Software Glitch</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Pt>
            <c:idx val="3"/>
            <c:bubble3D val="0"/>
            <c:spPr>
              <a:solidFill>
                <a:schemeClr val="accent4"/>
              </a:solidFill>
              <a:ln w="19050">
                <a:solidFill>
                  <a:schemeClr val="lt1"/>
                </a:solidFill>
              </a:ln>
              <a:effectLst/>
              <a:sp3d contourW="19050">
                <a:contourClr>
                  <a:schemeClr val="lt1"/>
                </a:contourClr>
              </a:sp3d>
            </c:spPr>
          </c:dPt>
          <c:cat>
            <c:multiLvlStrRef>
              <c:f>Sheet12!$AO$7:$AO$13</c:f>
              <c:multiLvlStrCache>
                <c:ptCount val="4"/>
                <c:lvl>
                  <c:pt idx="0">
                    <c:v>CT Scanner</c:v>
                  </c:pt>
                  <c:pt idx="1">
                    <c:v>Defibrillator</c:v>
                  </c:pt>
                  <c:pt idx="2">
                    <c:v>CT Scanner</c:v>
                  </c:pt>
                  <c:pt idx="3">
                    <c:v>Defibrillator</c:v>
                  </c:pt>
                </c:lvl>
                <c:lvl>
                  <c:pt idx="0">
                    <c:v>Active</c:v>
                  </c:pt>
                  <c:pt idx="2">
                    <c:v>Idle</c:v>
                  </c:pt>
                </c:lvl>
              </c:multiLvlStrCache>
            </c:multiLvlStrRef>
          </c:cat>
          <c:val>
            <c:numRef>
              <c:f>Sheet12!$AR$7:$AR$13</c:f>
              <c:numCache>
                <c:formatCode>General</c:formatCode>
                <c:ptCount val="4"/>
                <c:pt idx="0">
                  <c:v>3</c:v>
                </c:pt>
                <c:pt idx="2">
                  <c:v>1</c:v>
                </c:pt>
                <c:pt idx="3">
                  <c:v>1</c:v>
                </c:pt>
              </c:numCache>
            </c:numRef>
          </c:val>
          <c:extLst>
            <c:ext xmlns:c16="http://schemas.microsoft.com/office/drawing/2014/chart" uri="{C3380CC4-5D6E-409C-BE32-E72D297353CC}">
              <c16:uniqueId val="{00000002-F495-4B47-BA2B-C28EA728F7D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[Hospital_Equipment_Analysis.csv.xlsx]Operational Efficiency!PivotTable5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'Operational Efficiency'!$B$3</c:f>
              <c:strCache>
                <c:ptCount val="1"/>
                <c:pt idx="0">
                  <c:v>Sum of Utilization_Rate(%)</c:v>
                </c:pt>
              </c:strCache>
            </c:strRef>
          </c:tx>
          <c:spPr>
            <a:ln w="28575" cap="rnd">
              <a:solidFill>
                <a:schemeClr val="accent1"/>
              </a:solidFill>
              <a:round/>
            </a:ln>
            <a:effectLst/>
          </c:spPr>
          <c:marker>
            <c:symbol val="none"/>
          </c:marker>
          <c:cat>
            <c:strRef>
              <c:f>'Operational Efficiency'!$A$4:$A$16</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'Operational Efficiency'!$B$4:$B$16</c:f>
              <c:numCache>
                <c:formatCode>General</c:formatCode>
                <c:ptCount val="12"/>
                <c:pt idx="0">
                  <c:v>96.92</c:v>
                </c:pt>
                <c:pt idx="1">
                  <c:v>196.67</c:v>
                </c:pt>
                <c:pt idx="2">
                  <c:v>81.48</c:v>
                </c:pt>
                <c:pt idx="3">
                  <c:v>217.95</c:v>
                </c:pt>
                <c:pt idx="4">
                  <c:v>164.13</c:v>
                </c:pt>
                <c:pt idx="5">
                  <c:v>589.17999999999995</c:v>
                </c:pt>
                <c:pt idx="6">
                  <c:v>253.56</c:v>
                </c:pt>
                <c:pt idx="7">
                  <c:v>167.29</c:v>
                </c:pt>
                <c:pt idx="8">
                  <c:v>250.41</c:v>
                </c:pt>
                <c:pt idx="9">
                  <c:v>248.8</c:v>
                </c:pt>
                <c:pt idx="10">
                  <c:v>135.76</c:v>
                </c:pt>
                <c:pt idx="11">
                  <c:v>204.84</c:v>
                </c:pt>
              </c:numCache>
            </c:numRef>
          </c:val>
          <c:smooth val="0"/>
          <c:extLst>
            <c:ext xmlns:c16="http://schemas.microsoft.com/office/drawing/2014/chart" uri="{C3380CC4-5D6E-409C-BE32-E72D297353CC}">
              <c16:uniqueId val="{00000000-D4F4-4065-A265-DA35501262D5}"/>
            </c:ext>
          </c:extLst>
        </c:ser>
        <c:ser>
          <c:idx val="1"/>
          <c:order val="1"/>
          <c:tx>
            <c:strRef>
              <c:f>'Operational Efficiency'!$C$3</c:f>
              <c:strCache>
                <c:ptCount val="1"/>
                <c:pt idx="0">
                  <c:v>Sum of Efficiency_Gap</c:v>
                </c:pt>
              </c:strCache>
            </c:strRef>
          </c:tx>
          <c:spPr>
            <a:ln w="28575" cap="rnd">
              <a:solidFill>
                <a:schemeClr val="accent2"/>
              </a:solidFill>
              <a:round/>
            </a:ln>
            <a:effectLst/>
          </c:spPr>
          <c:marker>
            <c:symbol val="none"/>
          </c:marker>
          <c:cat>
            <c:strRef>
              <c:f>'Operational Efficiency'!$A$4:$A$16</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'Operational Efficiency'!$C$4:$C$16</c:f>
              <c:numCache>
                <c:formatCode>General</c:formatCode>
                <c:ptCount val="12"/>
                <c:pt idx="0">
                  <c:v>0.2</c:v>
                </c:pt>
                <c:pt idx="1">
                  <c:v>9.5</c:v>
                </c:pt>
                <c:pt idx="2">
                  <c:v>2</c:v>
                </c:pt>
                <c:pt idx="3">
                  <c:v>8.9</c:v>
                </c:pt>
                <c:pt idx="4">
                  <c:v>2.2999999999999998</c:v>
                </c:pt>
                <c:pt idx="5">
                  <c:v>27.9</c:v>
                </c:pt>
                <c:pt idx="6">
                  <c:v>15.1</c:v>
                </c:pt>
                <c:pt idx="7">
                  <c:v>3.1</c:v>
                </c:pt>
                <c:pt idx="8">
                  <c:v>4.0999999999999996</c:v>
                </c:pt>
                <c:pt idx="9">
                  <c:v>13.8</c:v>
                </c:pt>
                <c:pt idx="10">
                  <c:v>5.7</c:v>
                </c:pt>
                <c:pt idx="11">
                  <c:v>8.6</c:v>
                </c:pt>
              </c:numCache>
            </c:numRef>
          </c:val>
          <c:smooth val="0"/>
          <c:extLst>
            <c:ext xmlns:c16="http://schemas.microsoft.com/office/drawing/2014/chart" uri="{C3380CC4-5D6E-409C-BE32-E72D297353CC}">
              <c16:uniqueId val="{00000001-D4F4-4065-A265-DA35501262D5}"/>
            </c:ext>
          </c:extLst>
        </c:ser>
        <c:dLbls>
          <c:showLegendKey val="0"/>
          <c:showVal val="0"/>
          <c:showCatName val="0"/>
          <c:showSerName val="0"/>
          <c:showPercent val="0"/>
          <c:showBubbleSize val="0"/>
        </c:dLbls>
        <c:smooth val="0"/>
        <c:axId val="502680688"/>
        <c:axId val="502674448"/>
      </c:lineChart>
      <c:catAx>
        <c:axId val="50268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74448"/>
        <c:crosses val="autoZero"/>
        <c:auto val="1"/>
        <c:lblAlgn val="ctr"/>
        <c:lblOffset val="100"/>
        <c:noMultiLvlLbl val="0"/>
      </c:catAx>
      <c:valAx>
        <c:axId val="50267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8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[Hospital_Equipment_Analysis.csv.xlsx]Sheet12!PivotTable15</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48320993054202821"/>
          <c:y val="1.0429409241662409E-3"/>
          <c:w val="0.49898212560110539"/>
          <c:h val="0.5112823755245457"/>
        </c:manualLayout>
      </c:layout>
      <c:bar3DChart>
        <c:barDir val="bar"/>
        <c:grouping val="clustered"/>
        <c:varyColors val="0"/>
        <c:ser>
          <c:idx val="0"/>
          <c:order val="0"/>
          <c:tx>
            <c:strRef>
              <c:f>Sheet12!$CV$5:$CV$7</c:f>
              <c:strCache>
                <c:ptCount val="1"/>
                <c:pt idx="0">
                  <c:v>Sum of Scheduled_Hours - General Ward</c:v>
                </c:pt>
              </c:strCache>
            </c:strRef>
          </c:tx>
          <c:spPr>
            <a:solidFill>
              <a:schemeClr val="accent1"/>
            </a:solidFill>
            <a:ln>
              <a:noFill/>
            </a:ln>
            <a:effectLst/>
            <a:sp3d/>
          </c:spPr>
          <c:invertIfNegative val="0"/>
          <c:cat>
            <c:strRef>
              <c:f>Sheet12!$CU$8:$CU$10</c:f>
              <c:strCache>
                <c:ptCount val="2"/>
                <c:pt idx="0">
                  <c:v>CT Scanner</c:v>
                </c:pt>
                <c:pt idx="1">
                  <c:v>Defibrillator</c:v>
                </c:pt>
              </c:strCache>
            </c:strRef>
          </c:cat>
          <c:val>
            <c:numRef>
              <c:f>Sheet12!$CV$8:$CV$10</c:f>
              <c:numCache>
                <c:formatCode>General</c:formatCode>
                <c:ptCount val="2"/>
                <c:pt idx="0">
                  <c:v>23.4</c:v>
                </c:pt>
                <c:pt idx="1">
                  <c:v>11.2</c:v>
                </c:pt>
              </c:numCache>
            </c:numRef>
          </c:val>
          <c:extLst>
            <c:ext xmlns:c16="http://schemas.microsoft.com/office/drawing/2014/chart" uri="{C3380CC4-5D6E-409C-BE32-E72D297353CC}">
              <c16:uniqueId val="{00000024-D750-420C-A984-49C6048D73E3}"/>
            </c:ext>
          </c:extLst>
        </c:ser>
        <c:ser>
          <c:idx val="1"/>
          <c:order val="1"/>
          <c:tx>
            <c:strRef>
              <c:f>Sheet12!$CW$5:$CW$7</c:f>
              <c:strCache>
                <c:ptCount val="1"/>
                <c:pt idx="0">
                  <c:v>Sum of Scheduled_Hours - ICU</c:v>
                </c:pt>
              </c:strCache>
            </c:strRef>
          </c:tx>
          <c:spPr>
            <a:solidFill>
              <a:schemeClr val="accent2"/>
            </a:solidFill>
            <a:ln>
              <a:noFill/>
            </a:ln>
            <a:effectLst/>
            <a:sp3d/>
          </c:spPr>
          <c:invertIfNegative val="0"/>
          <c:cat>
            <c:strRef>
              <c:f>Sheet12!$CU$8:$CU$10</c:f>
              <c:strCache>
                <c:ptCount val="2"/>
                <c:pt idx="0">
                  <c:v>CT Scanner</c:v>
                </c:pt>
                <c:pt idx="1">
                  <c:v>Defibrillator</c:v>
                </c:pt>
              </c:strCache>
            </c:strRef>
          </c:cat>
          <c:val>
            <c:numRef>
              <c:f>Sheet12!$CW$8:$CW$10</c:f>
              <c:numCache>
                <c:formatCode>General</c:formatCode>
                <c:ptCount val="2"/>
                <c:pt idx="0">
                  <c:v>23.6</c:v>
                </c:pt>
                <c:pt idx="1">
                  <c:v>28.4</c:v>
                </c:pt>
              </c:numCache>
            </c:numRef>
          </c:val>
          <c:extLst>
            <c:ext xmlns:c16="http://schemas.microsoft.com/office/drawing/2014/chart" uri="{C3380CC4-5D6E-409C-BE32-E72D297353CC}">
              <c16:uniqueId val="{00000025-D750-420C-A984-49C6048D73E3}"/>
            </c:ext>
          </c:extLst>
        </c:ser>
        <c:ser>
          <c:idx val="2"/>
          <c:order val="2"/>
          <c:tx>
            <c:strRef>
              <c:f>Sheet12!$CX$5:$CX$7</c:f>
              <c:strCache>
                <c:ptCount val="1"/>
                <c:pt idx="0">
                  <c:v>Sum of Scheduled_Hours - Nephrology</c:v>
                </c:pt>
              </c:strCache>
            </c:strRef>
          </c:tx>
          <c:spPr>
            <a:solidFill>
              <a:schemeClr val="accent3"/>
            </a:solidFill>
            <a:ln>
              <a:noFill/>
            </a:ln>
            <a:effectLst/>
            <a:sp3d/>
          </c:spPr>
          <c:invertIfNegative val="0"/>
          <c:cat>
            <c:strRef>
              <c:f>Sheet12!$CU$8:$CU$10</c:f>
              <c:strCache>
                <c:ptCount val="2"/>
                <c:pt idx="0">
                  <c:v>CT Scanner</c:v>
                </c:pt>
                <c:pt idx="1">
                  <c:v>Defibrillator</c:v>
                </c:pt>
              </c:strCache>
            </c:strRef>
          </c:cat>
          <c:val>
            <c:numRef>
              <c:f>Sheet12!$CX$8:$CX$10</c:f>
              <c:numCache>
                <c:formatCode>General</c:formatCode>
                <c:ptCount val="2"/>
                <c:pt idx="0">
                  <c:v>20.2</c:v>
                </c:pt>
                <c:pt idx="1">
                  <c:v>19.3</c:v>
                </c:pt>
              </c:numCache>
            </c:numRef>
          </c:val>
          <c:extLst>
            <c:ext xmlns:c16="http://schemas.microsoft.com/office/drawing/2014/chart" uri="{C3380CC4-5D6E-409C-BE32-E72D297353CC}">
              <c16:uniqueId val="{00000026-D750-420C-A984-49C6048D73E3}"/>
            </c:ext>
          </c:extLst>
        </c:ser>
        <c:ser>
          <c:idx val="3"/>
          <c:order val="3"/>
          <c:tx>
            <c:strRef>
              <c:f>Sheet12!$CY$5:$CY$7</c:f>
              <c:strCache>
                <c:ptCount val="1"/>
                <c:pt idx="0">
                  <c:v>Sum of Scheduled_Hours - OT</c:v>
                </c:pt>
              </c:strCache>
            </c:strRef>
          </c:tx>
          <c:spPr>
            <a:solidFill>
              <a:schemeClr val="accent4"/>
            </a:solidFill>
            <a:ln>
              <a:noFill/>
            </a:ln>
            <a:effectLst/>
            <a:sp3d/>
          </c:spPr>
          <c:invertIfNegative val="0"/>
          <c:cat>
            <c:strRef>
              <c:f>Sheet12!$CU$8:$CU$10</c:f>
              <c:strCache>
                <c:ptCount val="2"/>
                <c:pt idx="0">
                  <c:v>CT Scanner</c:v>
                </c:pt>
                <c:pt idx="1">
                  <c:v>Defibrillator</c:v>
                </c:pt>
              </c:strCache>
            </c:strRef>
          </c:cat>
          <c:val>
            <c:numRef>
              <c:f>Sheet12!$CY$8:$CY$10</c:f>
              <c:numCache>
                <c:formatCode>General</c:formatCode>
                <c:ptCount val="2"/>
                <c:pt idx="1">
                  <c:v>10.5</c:v>
                </c:pt>
              </c:numCache>
            </c:numRef>
          </c:val>
          <c:extLst>
            <c:ext xmlns:c16="http://schemas.microsoft.com/office/drawing/2014/chart" uri="{C3380CC4-5D6E-409C-BE32-E72D297353CC}">
              <c16:uniqueId val="{00000000-E084-4137-8F65-F74EF996D0A0}"/>
            </c:ext>
          </c:extLst>
        </c:ser>
        <c:ser>
          <c:idx val="4"/>
          <c:order val="4"/>
          <c:tx>
            <c:strRef>
              <c:f>Sheet12!$CZ$5:$CZ$7</c:f>
              <c:strCache>
                <c:ptCount val="1"/>
                <c:pt idx="0">
                  <c:v>Sum of Actual_Usage_Hours - General Ward</c:v>
                </c:pt>
              </c:strCache>
            </c:strRef>
          </c:tx>
          <c:spPr>
            <a:solidFill>
              <a:schemeClr val="accent5"/>
            </a:solidFill>
            <a:ln>
              <a:noFill/>
            </a:ln>
            <a:effectLst/>
            <a:sp3d/>
          </c:spPr>
          <c:invertIfNegative val="0"/>
          <c:cat>
            <c:strRef>
              <c:f>Sheet12!$CU$8:$CU$10</c:f>
              <c:strCache>
                <c:ptCount val="2"/>
                <c:pt idx="0">
                  <c:v>CT Scanner</c:v>
                </c:pt>
                <c:pt idx="1">
                  <c:v>Defibrillator</c:v>
                </c:pt>
              </c:strCache>
            </c:strRef>
          </c:cat>
          <c:val>
            <c:numRef>
              <c:f>Sheet12!$CZ$8:$CZ$10</c:f>
              <c:numCache>
                <c:formatCode>General</c:formatCode>
                <c:ptCount val="2"/>
                <c:pt idx="0">
                  <c:v>16.5</c:v>
                </c:pt>
                <c:pt idx="1">
                  <c:v>9.9</c:v>
                </c:pt>
              </c:numCache>
            </c:numRef>
          </c:val>
          <c:extLst>
            <c:ext xmlns:c16="http://schemas.microsoft.com/office/drawing/2014/chart" uri="{C3380CC4-5D6E-409C-BE32-E72D297353CC}">
              <c16:uniqueId val="{00000001-E084-4137-8F65-F74EF996D0A0}"/>
            </c:ext>
          </c:extLst>
        </c:ser>
        <c:ser>
          <c:idx val="5"/>
          <c:order val="5"/>
          <c:tx>
            <c:strRef>
              <c:f>Sheet12!$DA$5:$DA$7</c:f>
              <c:strCache>
                <c:ptCount val="1"/>
                <c:pt idx="0">
                  <c:v>Sum of Actual_Usage_Hours - ICU</c:v>
                </c:pt>
              </c:strCache>
            </c:strRef>
          </c:tx>
          <c:spPr>
            <a:solidFill>
              <a:schemeClr val="accent6"/>
            </a:solidFill>
            <a:ln>
              <a:noFill/>
            </a:ln>
            <a:effectLst/>
            <a:sp3d/>
          </c:spPr>
          <c:invertIfNegative val="0"/>
          <c:cat>
            <c:strRef>
              <c:f>Sheet12!$CU$8:$CU$10</c:f>
              <c:strCache>
                <c:ptCount val="2"/>
                <c:pt idx="0">
                  <c:v>CT Scanner</c:v>
                </c:pt>
                <c:pt idx="1">
                  <c:v>Defibrillator</c:v>
                </c:pt>
              </c:strCache>
            </c:strRef>
          </c:cat>
          <c:val>
            <c:numRef>
              <c:f>Sheet12!$DA$8:$DA$10</c:f>
              <c:numCache>
                <c:formatCode>General</c:formatCode>
                <c:ptCount val="2"/>
                <c:pt idx="0">
                  <c:v>16.399999999999999</c:v>
                </c:pt>
                <c:pt idx="1">
                  <c:v>20.8</c:v>
                </c:pt>
              </c:numCache>
            </c:numRef>
          </c:val>
          <c:extLst>
            <c:ext xmlns:c16="http://schemas.microsoft.com/office/drawing/2014/chart" uri="{C3380CC4-5D6E-409C-BE32-E72D297353CC}">
              <c16:uniqueId val="{00000002-E084-4137-8F65-F74EF996D0A0}"/>
            </c:ext>
          </c:extLst>
        </c:ser>
        <c:ser>
          <c:idx val="6"/>
          <c:order val="6"/>
          <c:tx>
            <c:strRef>
              <c:f>Sheet12!$DB$5:$DB$7</c:f>
              <c:strCache>
                <c:ptCount val="1"/>
                <c:pt idx="0">
                  <c:v>Sum of Actual_Usage_Hours - Nephrology</c:v>
                </c:pt>
              </c:strCache>
            </c:strRef>
          </c:tx>
          <c:spPr>
            <a:solidFill>
              <a:schemeClr val="accent1">
                <a:lumMod val="60000"/>
              </a:schemeClr>
            </a:solidFill>
            <a:ln>
              <a:noFill/>
            </a:ln>
            <a:effectLst/>
            <a:sp3d/>
          </c:spPr>
          <c:invertIfNegative val="0"/>
          <c:cat>
            <c:strRef>
              <c:f>Sheet12!$CU$8:$CU$10</c:f>
              <c:strCache>
                <c:ptCount val="2"/>
                <c:pt idx="0">
                  <c:v>CT Scanner</c:v>
                </c:pt>
                <c:pt idx="1">
                  <c:v>Defibrillator</c:v>
                </c:pt>
              </c:strCache>
            </c:strRef>
          </c:cat>
          <c:val>
            <c:numRef>
              <c:f>Sheet12!$DB$8:$DB$10</c:f>
              <c:numCache>
                <c:formatCode>General</c:formatCode>
                <c:ptCount val="2"/>
                <c:pt idx="0">
                  <c:v>13.7</c:v>
                </c:pt>
                <c:pt idx="1">
                  <c:v>15.6</c:v>
                </c:pt>
              </c:numCache>
            </c:numRef>
          </c:val>
          <c:extLst>
            <c:ext xmlns:c16="http://schemas.microsoft.com/office/drawing/2014/chart" uri="{C3380CC4-5D6E-409C-BE32-E72D297353CC}">
              <c16:uniqueId val="{00000003-E084-4137-8F65-F74EF996D0A0}"/>
            </c:ext>
          </c:extLst>
        </c:ser>
        <c:ser>
          <c:idx val="7"/>
          <c:order val="7"/>
          <c:tx>
            <c:strRef>
              <c:f>Sheet12!$DC$5:$DC$7</c:f>
              <c:strCache>
                <c:ptCount val="1"/>
                <c:pt idx="0">
                  <c:v>Sum of Actual_Usage_Hours - OT</c:v>
                </c:pt>
              </c:strCache>
            </c:strRef>
          </c:tx>
          <c:spPr>
            <a:solidFill>
              <a:schemeClr val="accent2">
                <a:lumMod val="60000"/>
              </a:schemeClr>
            </a:solidFill>
            <a:ln>
              <a:noFill/>
            </a:ln>
            <a:effectLst/>
            <a:sp3d/>
          </c:spPr>
          <c:invertIfNegative val="0"/>
          <c:cat>
            <c:strRef>
              <c:f>Sheet12!$CU$8:$CU$10</c:f>
              <c:strCache>
                <c:ptCount val="2"/>
                <c:pt idx="0">
                  <c:v>CT Scanner</c:v>
                </c:pt>
                <c:pt idx="1">
                  <c:v>Defibrillator</c:v>
                </c:pt>
              </c:strCache>
            </c:strRef>
          </c:cat>
          <c:val>
            <c:numRef>
              <c:f>Sheet12!$DC$8:$DC$10</c:f>
              <c:numCache>
                <c:formatCode>General</c:formatCode>
                <c:ptCount val="2"/>
                <c:pt idx="1">
                  <c:v>7.8</c:v>
                </c:pt>
              </c:numCache>
            </c:numRef>
          </c:val>
          <c:extLst>
            <c:ext xmlns:c16="http://schemas.microsoft.com/office/drawing/2014/chart" uri="{C3380CC4-5D6E-409C-BE32-E72D297353CC}">
              <c16:uniqueId val="{00000004-E084-4137-8F65-F74EF996D0A0}"/>
            </c:ext>
          </c:extLst>
        </c:ser>
        <c:ser>
          <c:idx val="8"/>
          <c:order val="8"/>
          <c:tx>
            <c:strRef>
              <c:f>Sheet12!$DD$5:$DD$7</c:f>
              <c:strCache>
                <c:ptCount val="1"/>
                <c:pt idx="0">
                  <c:v>Sum of Downtime_Hours - General Ward</c:v>
                </c:pt>
              </c:strCache>
            </c:strRef>
          </c:tx>
          <c:spPr>
            <a:solidFill>
              <a:schemeClr val="accent3">
                <a:lumMod val="60000"/>
              </a:schemeClr>
            </a:solidFill>
            <a:ln>
              <a:noFill/>
            </a:ln>
            <a:effectLst/>
            <a:sp3d/>
          </c:spPr>
          <c:invertIfNegative val="0"/>
          <c:cat>
            <c:strRef>
              <c:f>Sheet12!$CU$8:$CU$10</c:f>
              <c:strCache>
                <c:ptCount val="2"/>
                <c:pt idx="0">
                  <c:v>CT Scanner</c:v>
                </c:pt>
                <c:pt idx="1">
                  <c:v>Defibrillator</c:v>
                </c:pt>
              </c:strCache>
            </c:strRef>
          </c:cat>
          <c:val>
            <c:numRef>
              <c:f>Sheet12!$DD$8:$DD$10</c:f>
              <c:numCache>
                <c:formatCode>General</c:formatCode>
                <c:ptCount val="2"/>
                <c:pt idx="0">
                  <c:v>5.5</c:v>
                </c:pt>
                <c:pt idx="1">
                  <c:v>1</c:v>
                </c:pt>
              </c:numCache>
            </c:numRef>
          </c:val>
          <c:extLst>
            <c:ext xmlns:c16="http://schemas.microsoft.com/office/drawing/2014/chart" uri="{C3380CC4-5D6E-409C-BE32-E72D297353CC}">
              <c16:uniqueId val="{00000005-E084-4137-8F65-F74EF996D0A0}"/>
            </c:ext>
          </c:extLst>
        </c:ser>
        <c:ser>
          <c:idx val="9"/>
          <c:order val="9"/>
          <c:tx>
            <c:strRef>
              <c:f>Sheet12!$DE$5:$DE$7</c:f>
              <c:strCache>
                <c:ptCount val="1"/>
                <c:pt idx="0">
                  <c:v>Sum of Downtime_Hours - ICU</c:v>
                </c:pt>
              </c:strCache>
            </c:strRef>
          </c:tx>
          <c:spPr>
            <a:solidFill>
              <a:schemeClr val="accent4">
                <a:lumMod val="60000"/>
              </a:schemeClr>
            </a:solidFill>
            <a:ln>
              <a:noFill/>
            </a:ln>
            <a:effectLst/>
            <a:sp3d/>
          </c:spPr>
          <c:invertIfNegative val="0"/>
          <c:cat>
            <c:strRef>
              <c:f>Sheet12!$CU$8:$CU$10</c:f>
              <c:strCache>
                <c:ptCount val="2"/>
                <c:pt idx="0">
                  <c:v>CT Scanner</c:v>
                </c:pt>
                <c:pt idx="1">
                  <c:v>Defibrillator</c:v>
                </c:pt>
              </c:strCache>
            </c:strRef>
          </c:cat>
          <c:val>
            <c:numRef>
              <c:f>Sheet12!$DE$8:$DE$10</c:f>
              <c:numCache>
                <c:formatCode>General</c:formatCode>
                <c:ptCount val="2"/>
                <c:pt idx="0">
                  <c:v>5.4</c:v>
                </c:pt>
                <c:pt idx="1">
                  <c:v>5.9</c:v>
                </c:pt>
              </c:numCache>
            </c:numRef>
          </c:val>
          <c:extLst>
            <c:ext xmlns:c16="http://schemas.microsoft.com/office/drawing/2014/chart" uri="{C3380CC4-5D6E-409C-BE32-E72D297353CC}">
              <c16:uniqueId val="{00000000-2080-4489-87A3-3312AED35BE6}"/>
            </c:ext>
          </c:extLst>
        </c:ser>
        <c:ser>
          <c:idx val="10"/>
          <c:order val="10"/>
          <c:tx>
            <c:strRef>
              <c:f>Sheet12!$DF$5:$DF$7</c:f>
              <c:strCache>
                <c:ptCount val="1"/>
                <c:pt idx="0">
                  <c:v>Sum of Downtime_Hours - Nephrology</c:v>
                </c:pt>
              </c:strCache>
            </c:strRef>
          </c:tx>
          <c:spPr>
            <a:solidFill>
              <a:schemeClr val="accent5">
                <a:lumMod val="60000"/>
              </a:schemeClr>
            </a:solidFill>
            <a:ln>
              <a:noFill/>
            </a:ln>
            <a:effectLst/>
            <a:sp3d/>
          </c:spPr>
          <c:invertIfNegative val="0"/>
          <c:cat>
            <c:strRef>
              <c:f>Sheet12!$CU$8:$CU$10</c:f>
              <c:strCache>
                <c:ptCount val="2"/>
                <c:pt idx="0">
                  <c:v>CT Scanner</c:v>
                </c:pt>
                <c:pt idx="1">
                  <c:v>Defibrillator</c:v>
                </c:pt>
              </c:strCache>
            </c:strRef>
          </c:cat>
          <c:val>
            <c:numRef>
              <c:f>Sheet12!$DF$8:$DF$10</c:f>
              <c:numCache>
                <c:formatCode>General</c:formatCode>
                <c:ptCount val="2"/>
                <c:pt idx="0">
                  <c:v>5.7</c:v>
                </c:pt>
                <c:pt idx="1">
                  <c:v>2.4</c:v>
                </c:pt>
              </c:numCache>
            </c:numRef>
          </c:val>
          <c:extLst>
            <c:ext xmlns:c16="http://schemas.microsoft.com/office/drawing/2014/chart" uri="{C3380CC4-5D6E-409C-BE32-E72D297353CC}">
              <c16:uniqueId val="{00000001-2080-4489-87A3-3312AED35BE6}"/>
            </c:ext>
          </c:extLst>
        </c:ser>
        <c:ser>
          <c:idx val="11"/>
          <c:order val="11"/>
          <c:tx>
            <c:strRef>
              <c:f>Sheet12!$DG$5:$DG$7</c:f>
              <c:strCache>
                <c:ptCount val="1"/>
                <c:pt idx="0">
                  <c:v>Sum of Downtime_Hours - OT</c:v>
                </c:pt>
              </c:strCache>
            </c:strRef>
          </c:tx>
          <c:spPr>
            <a:solidFill>
              <a:schemeClr val="accent6">
                <a:lumMod val="60000"/>
              </a:schemeClr>
            </a:solidFill>
            <a:ln>
              <a:noFill/>
            </a:ln>
            <a:effectLst/>
            <a:sp3d/>
          </c:spPr>
          <c:invertIfNegative val="0"/>
          <c:cat>
            <c:strRef>
              <c:f>Sheet12!$CU$8:$CU$10</c:f>
              <c:strCache>
                <c:ptCount val="2"/>
                <c:pt idx="0">
                  <c:v>CT Scanner</c:v>
                </c:pt>
                <c:pt idx="1">
                  <c:v>Defibrillator</c:v>
                </c:pt>
              </c:strCache>
            </c:strRef>
          </c:cat>
          <c:val>
            <c:numRef>
              <c:f>Sheet12!$DG$8:$DG$10</c:f>
              <c:numCache>
                <c:formatCode>General</c:formatCode>
                <c:ptCount val="2"/>
                <c:pt idx="1">
                  <c:v>2.7</c:v>
                </c:pt>
              </c:numCache>
            </c:numRef>
          </c:val>
          <c:extLst>
            <c:ext xmlns:c16="http://schemas.microsoft.com/office/drawing/2014/chart" uri="{C3380CC4-5D6E-409C-BE32-E72D297353CC}">
              <c16:uniqueId val="{00000002-2080-4489-87A3-3312AED35BE6}"/>
            </c:ext>
          </c:extLst>
        </c:ser>
        <c:dLbls>
          <c:showLegendKey val="0"/>
          <c:showVal val="0"/>
          <c:showCatName val="0"/>
          <c:showSerName val="0"/>
          <c:showPercent val="0"/>
          <c:showBubbleSize val="0"/>
        </c:dLbls>
        <c:gapWidth val="150"/>
        <c:shape val="box"/>
        <c:axId val="301326544"/>
        <c:axId val="301327024"/>
        <c:axId val="0"/>
      </c:bar3DChart>
      <c:catAx>
        <c:axId val="30132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7024"/>
        <c:crosses val="autoZero"/>
        <c:auto val="1"/>
        <c:lblAlgn val="ctr"/>
        <c:lblOffset val="100"/>
        <c:noMultiLvlLbl val="0"/>
      </c:catAx>
      <c:valAx>
        <c:axId val="30132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26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Avg Equipment Utilization (%)</a:t>
            </a:r>
          </a:p>
        </c:rich>
      </c:tx>
      <c:overlay val="1"/>
    </c:title>
    <c:autoTitleDeleted val="0"/>
    <c:plotArea>
      <c:layout/>
      <c:barChart>
        <c:barDir val="col"/>
        <c:grouping val="clustered"/>
        <c:varyColors val="1"/>
        <c:ser>
          <c:idx val="0"/>
          <c:order val="0"/>
          <c:tx>
            <c:strRef>
              <c:f>Aggregated_Data!$B$1</c:f>
              <c:strCache>
                <c:ptCount val="1"/>
                <c:pt idx="0">
                  <c:v>Avg_Utilization(%)</c:v>
                </c:pt>
              </c:strCache>
            </c:strRef>
          </c:tx>
          <c:spPr>
            <a:solidFill>
              <a:srgbClr val="17A589"/>
            </a:solidFill>
            <a:ln>
              <a:prstDash val="solid"/>
            </a:ln>
          </c:spPr>
          <c:invertIfNegative val="1"/>
          <c:cat>
            <c:strRef>
              <c:f>Aggregated_Data!$A$2:$A$13</c:f>
              <c:strCache>
                <c:ptCount val="12"/>
                <c:pt idx="0">
                  <c:v>Anesthesia Machine</c:v>
                </c:pt>
                <c:pt idx="1">
                  <c:v>CT Scanner</c:v>
                </c:pt>
                <c:pt idx="2">
                  <c:v>Defibrillator</c:v>
                </c:pt>
                <c:pt idx="3">
                  <c:v>Dialysis Machine</c:v>
                </c:pt>
                <c:pt idx="4">
                  <c:v>ECG Machine</c:v>
                </c:pt>
                <c:pt idx="5">
                  <c:v>Infusion Pump</c:v>
                </c:pt>
                <c:pt idx="6">
                  <c:v>MRI Scanner</c:v>
                </c:pt>
                <c:pt idx="7">
                  <c:v>Patient Monitor</c:v>
                </c:pt>
                <c:pt idx="8">
                  <c:v>Surgical Robot</c:v>
                </c:pt>
                <c:pt idx="9">
                  <c:v>Ultrasound Machine</c:v>
                </c:pt>
                <c:pt idx="10">
                  <c:v>Ventilator</c:v>
                </c:pt>
                <c:pt idx="11">
                  <c:v>X-Ray Machine</c:v>
                </c:pt>
              </c:strCache>
            </c:strRef>
          </c:cat>
          <c:val>
            <c:numRef>
              <c:f>Aggregated_Data!$B$2:$B$13</c:f>
              <c:numCache>
                <c:formatCode>General</c:formatCode>
                <c:ptCount val="12"/>
                <c:pt idx="0">
                  <c:v>75.400000000000006</c:v>
                </c:pt>
                <c:pt idx="1">
                  <c:v>64.7</c:v>
                </c:pt>
                <c:pt idx="2">
                  <c:v>77.900000000000006</c:v>
                </c:pt>
                <c:pt idx="3">
                  <c:v>73.3</c:v>
                </c:pt>
                <c:pt idx="4">
                  <c:v>67.3</c:v>
                </c:pt>
                <c:pt idx="5">
                  <c:v>70.2</c:v>
                </c:pt>
                <c:pt idx="6">
                  <c:v>67.400000000000006</c:v>
                </c:pt>
                <c:pt idx="7">
                  <c:v>68.599999999999994</c:v>
                </c:pt>
                <c:pt idx="8">
                  <c:v>66.599999999999994</c:v>
                </c:pt>
                <c:pt idx="9">
                  <c:v>65.900000000000006</c:v>
                </c:pt>
                <c:pt idx="10">
                  <c:v>69.599999999999994</c:v>
                </c:pt>
                <c:pt idx="11">
                  <c:v>69.5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5BB-42D7-8D4E-283BFB45F87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Equipment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image" Target="../media/image2.pn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chart" Target="../charts/chart19.xml"/><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svg"/><Relationship Id="rId14"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6</xdr:col>
      <xdr:colOff>7815</xdr:colOff>
      <xdr:row>16</xdr:row>
      <xdr:rowOff>150348</xdr:rowOff>
    </xdr:from>
    <xdr:to>
      <xdr:col>13</xdr:col>
      <xdr:colOff>1025768</xdr:colOff>
      <xdr:row>37</xdr:row>
      <xdr:rowOff>107461</xdr:rowOff>
    </xdr:to>
    <xdr:graphicFrame macro="">
      <xdr:nvGraphicFramePr>
        <xdr:cNvPr id="2" name="Chart 1">
          <a:extLst>
            <a:ext uri="{FF2B5EF4-FFF2-40B4-BE49-F238E27FC236}">
              <a16:creationId xmlns:a16="http://schemas.microsoft.com/office/drawing/2014/main" id="{F048B1C0-FAC5-8A24-3C5D-2260DE832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3390</xdr:colOff>
      <xdr:row>14</xdr:row>
      <xdr:rowOff>35609</xdr:rowOff>
    </xdr:from>
    <xdr:to>
      <xdr:col>16</xdr:col>
      <xdr:colOff>199571</xdr:colOff>
      <xdr:row>46</xdr:row>
      <xdr:rowOff>1</xdr:rowOff>
    </xdr:to>
    <xdr:graphicFrame macro="">
      <xdr:nvGraphicFramePr>
        <xdr:cNvPr id="2" name="Chart 1">
          <a:extLst>
            <a:ext uri="{FF2B5EF4-FFF2-40B4-BE49-F238E27FC236}">
              <a16:creationId xmlns:a16="http://schemas.microsoft.com/office/drawing/2014/main" id="{2073FA73-DD3C-B318-884D-E9ED2A836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12758</xdr:colOff>
      <xdr:row>25</xdr:row>
      <xdr:rowOff>36532</xdr:rowOff>
    </xdr:from>
    <xdr:to>
      <xdr:col>21</xdr:col>
      <xdr:colOff>548105</xdr:colOff>
      <xdr:row>45</xdr:row>
      <xdr:rowOff>66842</xdr:rowOff>
    </xdr:to>
    <xdr:graphicFrame macro="">
      <xdr:nvGraphicFramePr>
        <xdr:cNvPr id="2" name="Chart 1">
          <a:extLst>
            <a:ext uri="{FF2B5EF4-FFF2-40B4-BE49-F238E27FC236}">
              <a16:creationId xmlns:a16="http://schemas.microsoft.com/office/drawing/2014/main" id="{05B45095-3FE7-511D-AE4E-317AFDB8A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8</xdr:row>
      <xdr:rowOff>148590</xdr:rowOff>
    </xdr:from>
    <xdr:to>
      <xdr:col>10</xdr:col>
      <xdr:colOff>83820</xdr:colOff>
      <xdr:row>26</xdr:row>
      <xdr:rowOff>114300</xdr:rowOff>
    </xdr:to>
    <xdr:graphicFrame macro="">
      <xdr:nvGraphicFramePr>
        <xdr:cNvPr id="2" name="Chart 1">
          <a:extLst>
            <a:ext uri="{FF2B5EF4-FFF2-40B4-BE49-F238E27FC236}">
              <a16:creationId xmlns:a16="http://schemas.microsoft.com/office/drawing/2014/main" id="{52757883-8936-8BAD-8494-111A88A65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716280</xdr:colOff>
      <xdr:row>8</xdr:row>
      <xdr:rowOff>148590</xdr:rowOff>
    </xdr:from>
    <xdr:to>
      <xdr:col>6</xdr:col>
      <xdr:colOff>746760</xdr:colOff>
      <xdr:row>27</xdr:row>
      <xdr:rowOff>60960</xdr:rowOff>
    </xdr:to>
    <xdr:graphicFrame macro="">
      <xdr:nvGraphicFramePr>
        <xdr:cNvPr id="2" name="Chart 1">
          <a:extLst>
            <a:ext uri="{FF2B5EF4-FFF2-40B4-BE49-F238E27FC236}">
              <a16:creationId xmlns:a16="http://schemas.microsoft.com/office/drawing/2014/main" id="{6E779EA1-2135-BC69-D5A8-2BC32BE94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771338</xdr:colOff>
      <xdr:row>34</xdr:row>
      <xdr:rowOff>129664</xdr:rowOff>
    </xdr:from>
    <xdr:to>
      <xdr:col>15</xdr:col>
      <xdr:colOff>140697</xdr:colOff>
      <xdr:row>54</xdr:row>
      <xdr:rowOff>57897</xdr:rowOff>
    </xdr:to>
    <xdr:graphicFrame macro="">
      <xdr:nvGraphicFramePr>
        <xdr:cNvPr id="2" name="Chart 1">
          <a:extLst>
            <a:ext uri="{FF2B5EF4-FFF2-40B4-BE49-F238E27FC236}">
              <a16:creationId xmlns:a16="http://schemas.microsoft.com/office/drawing/2014/main" id="{E682A948-6D36-3B72-3355-35543D282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24609</xdr:colOff>
      <xdr:row>18</xdr:row>
      <xdr:rowOff>136099</xdr:rowOff>
    </xdr:from>
    <xdr:to>
      <xdr:col>15</xdr:col>
      <xdr:colOff>1848288</xdr:colOff>
      <xdr:row>40</xdr:row>
      <xdr:rowOff>25609</xdr:rowOff>
    </xdr:to>
    <xdr:graphicFrame macro="">
      <xdr:nvGraphicFramePr>
        <xdr:cNvPr id="2" name="Chart 1">
          <a:extLst>
            <a:ext uri="{FF2B5EF4-FFF2-40B4-BE49-F238E27FC236}">
              <a16:creationId xmlns:a16="http://schemas.microsoft.com/office/drawing/2014/main" id="{33E383B1-DAE9-9933-8C19-D3FDC388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1623060</xdr:colOff>
      <xdr:row>9</xdr:row>
      <xdr:rowOff>106680</xdr:rowOff>
    </xdr:from>
    <xdr:to>
      <xdr:col>16</xdr:col>
      <xdr:colOff>1493519</xdr:colOff>
      <xdr:row>23</xdr:row>
      <xdr:rowOff>13335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A85022B-5417-68B5-87BA-FF69544234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563912" y="1793073"/>
              <a:ext cx="1831673" cy="252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62084</xdr:colOff>
      <xdr:row>5</xdr:row>
      <xdr:rowOff>70954</xdr:rowOff>
    </xdr:from>
    <xdr:to>
      <xdr:col>15</xdr:col>
      <xdr:colOff>916524</xdr:colOff>
      <xdr:row>18</xdr:row>
      <xdr:rowOff>102027</xdr:rowOff>
    </xdr:to>
    <mc:AlternateContent xmlns:mc="http://schemas.openxmlformats.org/markup-compatibility/2006" xmlns:a14="http://schemas.microsoft.com/office/drawing/2010/main">
      <mc:Choice Requires="a14">
        <xdr:graphicFrame macro="">
          <xdr:nvGraphicFramePr>
            <xdr:cNvPr id="4" name="Equipment_Name">
              <a:extLst>
                <a:ext uri="{FF2B5EF4-FFF2-40B4-BE49-F238E27FC236}">
                  <a16:creationId xmlns:a16="http://schemas.microsoft.com/office/drawing/2014/main" id="{9732ADD0-ECB4-CB6C-F2E1-AC19C542BAAD}"/>
                </a:ext>
              </a:extLst>
            </xdr:cNvPr>
            <xdr:cNvGraphicFramePr/>
          </xdr:nvGraphicFramePr>
          <xdr:xfrm>
            <a:off x="0" y="0"/>
            <a:ext cx="0" cy="0"/>
          </xdr:xfrm>
          <a:graphic>
            <a:graphicData uri="http://schemas.microsoft.com/office/drawing/2010/slicer">
              <sle:slicer xmlns:sle="http://schemas.microsoft.com/office/drawing/2010/slicer" name="Equipment_Name"/>
            </a:graphicData>
          </a:graphic>
        </xdr:graphicFrame>
      </mc:Choice>
      <mc:Fallback xmlns="">
        <xdr:sp macro="" textlink="">
          <xdr:nvSpPr>
            <xdr:cNvPr id="0" name=""/>
            <xdr:cNvSpPr>
              <a:spLocks noTextEdit="1"/>
            </xdr:cNvSpPr>
          </xdr:nvSpPr>
          <xdr:spPr>
            <a:xfrm>
              <a:off x="13028576" y="100783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1305126</xdr:colOff>
      <xdr:row>12</xdr:row>
      <xdr:rowOff>163285</xdr:rowOff>
    </xdr:from>
    <xdr:to>
      <xdr:col>15</xdr:col>
      <xdr:colOff>272143</xdr:colOff>
      <xdr:row>39</xdr:row>
      <xdr:rowOff>97972</xdr:rowOff>
    </xdr:to>
    <xdr:graphicFrame macro="">
      <xdr:nvGraphicFramePr>
        <xdr:cNvPr id="2" name="Chart 1">
          <a:extLst>
            <a:ext uri="{FF2B5EF4-FFF2-40B4-BE49-F238E27FC236}">
              <a16:creationId xmlns:a16="http://schemas.microsoft.com/office/drawing/2014/main" id="{80F680AB-2596-09E8-34A3-50465F2A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262971</xdr:colOff>
      <xdr:row>25</xdr:row>
      <xdr:rowOff>101005</xdr:rowOff>
    </xdr:from>
    <xdr:to>
      <xdr:col>22</xdr:col>
      <xdr:colOff>415074</xdr:colOff>
      <xdr:row>30</xdr:row>
      <xdr:rowOff>159326</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A3A817C2-A04D-22CB-345D-D2063BB7981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2990064" y="4566679"/>
              <a:ext cx="4139183" cy="988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607007</xdr:colOff>
      <xdr:row>19</xdr:row>
      <xdr:rowOff>7297</xdr:rowOff>
    </xdr:from>
    <xdr:to>
      <xdr:col>20</xdr:col>
      <xdr:colOff>212044</xdr:colOff>
      <xdr:row>24</xdr:row>
      <xdr:rowOff>41564</xdr:rowOff>
    </xdr:to>
    <mc:AlternateContent xmlns:mc="http://schemas.openxmlformats.org/markup-compatibility/2006" xmlns:a14="http://schemas.microsoft.com/office/drawing/2010/main">
      <mc:Choice Requires="a14">
        <xdr:graphicFrame macro="">
          <xdr:nvGraphicFramePr>
            <xdr:cNvPr id="5" name="Maintenance_Type">
              <a:extLst>
                <a:ext uri="{FF2B5EF4-FFF2-40B4-BE49-F238E27FC236}">
                  <a16:creationId xmlns:a16="http://schemas.microsoft.com/office/drawing/2014/main" id="{763F144C-843B-EC7A-9EF0-3CEE563959FD}"/>
                </a:ext>
              </a:extLst>
            </xdr:cNvPr>
            <xdr:cNvGraphicFramePr/>
          </xdr:nvGraphicFramePr>
          <xdr:xfrm>
            <a:off x="0" y="0"/>
            <a:ext cx="0" cy="0"/>
          </xdr:xfrm>
          <a:graphic>
            <a:graphicData uri="http://schemas.microsoft.com/office/drawing/2010/slicer">
              <sle:slicer xmlns:sle="http://schemas.microsoft.com/office/drawing/2010/slicer" name="Maintenance_Type"/>
            </a:graphicData>
          </a:graphic>
        </xdr:graphicFrame>
      </mc:Choice>
      <mc:Fallback xmlns="">
        <xdr:sp macro="" textlink="">
          <xdr:nvSpPr>
            <xdr:cNvPr id="0" name=""/>
            <xdr:cNvSpPr>
              <a:spLocks noTextEdit="1"/>
            </xdr:cNvSpPr>
          </xdr:nvSpPr>
          <xdr:spPr>
            <a:xfrm>
              <a:off x="22722728" y="3356553"/>
              <a:ext cx="1835587" cy="964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268321</xdr:colOff>
      <xdr:row>19</xdr:row>
      <xdr:rowOff>33397</xdr:rowOff>
    </xdr:from>
    <xdr:to>
      <xdr:col>11</xdr:col>
      <xdr:colOff>443062</xdr:colOff>
      <xdr:row>24</xdr:row>
      <xdr:rowOff>31423</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0E030143-B50C-5C86-0485-C9EEE5C9F37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616112" y="3382653"/>
              <a:ext cx="1827568" cy="92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1152201</xdr:colOff>
      <xdr:row>39</xdr:row>
      <xdr:rowOff>108168</xdr:rowOff>
    </xdr:from>
    <xdr:to>
      <xdr:col>12</xdr:col>
      <xdr:colOff>876591</xdr:colOff>
      <xdr:row>88</xdr:row>
      <xdr:rowOff>163285</xdr:rowOff>
    </xdr:to>
    <xdr:graphicFrame macro="">
      <xdr:nvGraphicFramePr>
        <xdr:cNvPr id="7" name="Chart 6">
          <a:extLst>
            <a:ext uri="{FF2B5EF4-FFF2-40B4-BE49-F238E27FC236}">
              <a16:creationId xmlns:a16="http://schemas.microsoft.com/office/drawing/2014/main" id="{77024BEA-E9A2-49BC-2559-D0FFD74E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196830</xdr:colOff>
      <xdr:row>46</xdr:row>
      <xdr:rowOff>136724</xdr:rowOff>
    </xdr:from>
    <xdr:to>
      <xdr:col>27</xdr:col>
      <xdr:colOff>41027</xdr:colOff>
      <xdr:row>81</xdr:row>
      <xdr:rowOff>58283</xdr:rowOff>
    </xdr:to>
    <xdr:graphicFrame macro="">
      <xdr:nvGraphicFramePr>
        <xdr:cNvPr id="8" name="Chart 7">
          <a:extLst>
            <a:ext uri="{FF2B5EF4-FFF2-40B4-BE49-F238E27FC236}">
              <a16:creationId xmlns:a16="http://schemas.microsoft.com/office/drawing/2014/main" id="{735B4911-D502-ED85-B1DA-492E8CDFC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962890</xdr:colOff>
      <xdr:row>38</xdr:row>
      <xdr:rowOff>166254</xdr:rowOff>
    </xdr:from>
    <xdr:to>
      <xdr:col>45</xdr:col>
      <xdr:colOff>671286</xdr:colOff>
      <xdr:row>90</xdr:row>
      <xdr:rowOff>-1</xdr:rowOff>
    </xdr:to>
    <xdr:graphicFrame macro="">
      <xdr:nvGraphicFramePr>
        <xdr:cNvPr id="9" name="Chart 8">
          <a:extLst>
            <a:ext uri="{FF2B5EF4-FFF2-40B4-BE49-F238E27FC236}">
              <a16:creationId xmlns:a16="http://schemas.microsoft.com/office/drawing/2014/main" id="{65C6DC0B-612F-F3DD-5D2B-2BC9AF12F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98</xdr:col>
      <xdr:colOff>714374</xdr:colOff>
      <xdr:row>33</xdr:row>
      <xdr:rowOff>114300</xdr:rowOff>
    </xdr:from>
    <xdr:to>
      <xdr:col>105</xdr:col>
      <xdr:colOff>1025071</xdr:colOff>
      <xdr:row>65</xdr:row>
      <xdr:rowOff>133350</xdr:rowOff>
    </xdr:to>
    <xdr:graphicFrame macro="">
      <xdr:nvGraphicFramePr>
        <xdr:cNvPr id="10" name="Chart 9">
          <a:extLst>
            <a:ext uri="{FF2B5EF4-FFF2-40B4-BE49-F238E27FC236}">
              <a16:creationId xmlns:a16="http://schemas.microsoft.com/office/drawing/2014/main" id="{5C45E5D8-1225-A1B5-608C-3B5AFDA52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328649</xdr:colOff>
      <xdr:row>37</xdr:row>
      <xdr:rowOff>90055</xdr:rowOff>
    </xdr:from>
    <xdr:to>
      <xdr:col>18</xdr:col>
      <xdr:colOff>394853</xdr:colOff>
      <xdr:row>45</xdr:row>
      <xdr:rowOff>96982</xdr:rowOff>
    </xdr:to>
    <mc:AlternateContent xmlns:mc="http://schemas.openxmlformats.org/markup-compatibility/2006" xmlns:a14="http://schemas.microsoft.com/office/drawing/2010/main">
      <mc:Choice Requires="a14">
        <xdr:graphicFrame macro="">
          <xdr:nvGraphicFramePr>
            <xdr:cNvPr id="11" name="Equipment_Name 1">
              <a:extLst>
                <a:ext uri="{FF2B5EF4-FFF2-40B4-BE49-F238E27FC236}">
                  <a16:creationId xmlns:a16="http://schemas.microsoft.com/office/drawing/2014/main" id="{5D1922EE-A318-4256-733B-58381E71F16B}"/>
                </a:ext>
              </a:extLst>
            </xdr:cNvPr>
            <xdr:cNvGraphicFramePr/>
          </xdr:nvGraphicFramePr>
          <xdr:xfrm>
            <a:off x="0" y="0"/>
            <a:ext cx="0" cy="0"/>
          </xdr:xfrm>
          <a:graphic>
            <a:graphicData uri="http://schemas.microsoft.com/office/drawing/2010/slicer">
              <sle:slicer xmlns:sle="http://schemas.microsoft.com/office/drawing/2010/slicer" name="Equipment_Name 1"/>
            </a:graphicData>
          </a:graphic>
        </xdr:graphicFrame>
      </mc:Choice>
      <mc:Fallback xmlns="">
        <xdr:sp macro="" textlink="">
          <xdr:nvSpPr>
            <xdr:cNvPr id="0" name=""/>
            <xdr:cNvSpPr>
              <a:spLocks noTextEdit="1"/>
            </xdr:cNvSpPr>
          </xdr:nvSpPr>
          <xdr:spPr>
            <a:xfrm>
              <a:off x="19626742" y="6788567"/>
              <a:ext cx="3495205" cy="149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44</xdr:col>
      <xdr:colOff>606941</xdr:colOff>
      <xdr:row>12</xdr:row>
      <xdr:rowOff>63796</xdr:rowOff>
    </xdr:from>
    <xdr:to>
      <xdr:col>47</xdr:col>
      <xdr:colOff>1174011</xdr:colOff>
      <xdr:row>27</xdr:row>
      <xdr:rowOff>15949</xdr:rowOff>
    </xdr:to>
    <xdr:graphicFrame macro="">
      <xdr:nvGraphicFramePr>
        <xdr:cNvPr id="12" name="Chart 11">
          <a:extLst>
            <a:ext uri="{FF2B5EF4-FFF2-40B4-BE49-F238E27FC236}">
              <a16:creationId xmlns:a16="http://schemas.microsoft.com/office/drawing/2014/main" id="{13B0431E-36F5-42BD-D081-B55FA8EF3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606942</xdr:colOff>
      <xdr:row>12</xdr:row>
      <xdr:rowOff>63796</xdr:rowOff>
    </xdr:from>
    <xdr:to>
      <xdr:col>47</xdr:col>
      <xdr:colOff>1174012</xdr:colOff>
      <xdr:row>27</xdr:row>
      <xdr:rowOff>15949</xdr:rowOff>
    </xdr:to>
    <xdr:graphicFrame macro="">
      <xdr:nvGraphicFramePr>
        <xdr:cNvPr id="13" name="Chart 12">
          <a:extLst>
            <a:ext uri="{FF2B5EF4-FFF2-40B4-BE49-F238E27FC236}">
              <a16:creationId xmlns:a16="http://schemas.microsoft.com/office/drawing/2014/main" id="{336E3998-B9FE-81AD-0F47-B257BDEED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580360</xdr:colOff>
      <xdr:row>12</xdr:row>
      <xdr:rowOff>63796</xdr:rowOff>
    </xdr:from>
    <xdr:to>
      <xdr:col>47</xdr:col>
      <xdr:colOff>367709</xdr:colOff>
      <xdr:row>27</xdr:row>
      <xdr:rowOff>15949</xdr:rowOff>
    </xdr:to>
    <xdr:graphicFrame macro="">
      <xdr:nvGraphicFramePr>
        <xdr:cNvPr id="14" name="Chart 13">
          <a:extLst>
            <a:ext uri="{FF2B5EF4-FFF2-40B4-BE49-F238E27FC236}">
              <a16:creationId xmlns:a16="http://schemas.microsoft.com/office/drawing/2014/main" id="{6071ED1C-B0B2-571C-67DC-E8E71E9E6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190500</xdr:colOff>
      <xdr:row>1</xdr:row>
      <xdr:rowOff>17318</xdr:rowOff>
    </xdr:from>
    <xdr:to>
      <xdr:col>54</xdr:col>
      <xdr:colOff>103909</xdr:colOff>
      <xdr:row>75</xdr:row>
      <xdr:rowOff>69273</xdr:rowOff>
    </xdr:to>
    <xdr:sp macro="" textlink="">
      <xdr:nvSpPr>
        <xdr:cNvPr id="6" name="Rectangle 5">
          <a:extLst>
            <a:ext uri="{FF2B5EF4-FFF2-40B4-BE49-F238E27FC236}">
              <a16:creationId xmlns:a16="http://schemas.microsoft.com/office/drawing/2014/main" id="{660CED74-3F52-AB31-85F7-2BB1562100BE}"/>
            </a:ext>
          </a:extLst>
        </xdr:cNvPr>
        <xdr:cNvSpPr/>
      </xdr:nvSpPr>
      <xdr:spPr>
        <a:xfrm>
          <a:off x="190500" y="207818"/>
          <a:ext cx="32644773" cy="14148955"/>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xdr:row>
      <xdr:rowOff>17318</xdr:rowOff>
    </xdr:from>
    <xdr:to>
      <xdr:col>36</xdr:col>
      <xdr:colOff>525781</xdr:colOff>
      <xdr:row>6</xdr:row>
      <xdr:rowOff>55418</xdr:rowOff>
    </xdr:to>
    <xdr:sp macro="" textlink="">
      <xdr:nvSpPr>
        <xdr:cNvPr id="10" name="Rectangle: Rounded Corners 9">
          <a:extLst>
            <a:ext uri="{FF2B5EF4-FFF2-40B4-BE49-F238E27FC236}">
              <a16:creationId xmlns:a16="http://schemas.microsoft.com/office/drawing/2014/main" id="{6AD1C538-540A-4062-AB19-15B74D526041}"/>
            </a:ext>
          </a:extLst>
        </xdr:cNvPr>
        <xdr:cNvSpPr/>
      </xdr:nvSpPr>
      <xdr:spPr>
        <a:xfrm>
          <a:off x="190500" y="207818"/>
          <a:ext cx="22156190" cy="990600"/>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260426</xdr:colOff>
      <xdr:row>12</xdr:row>
      <xdr:rowOff>74627</xdr:rowOff>
    </xdr:from>
    <xdr:to>
      <xdr:col>2</xdr:col>
      <xdr:colOff>414104</xdr:colOff>
      <xdr:row>23</xdr:row>
      <xdr:rowOff>38707</xdr:rowOff>
    </xdr:to>
    <mc:AlternateContent xmlns:mc="http://schemas.openxmlformats.org/markup-compatibility/2006" xmlns:a14="http://schemas.microsoft.com/office/drawing/2010/main">
      <mc:Choice Requires="a14">
        <xdr:graphicFrame macro="">
          <xdr:nvGraphicFramePr>
            <xdr:cNvPr id="16" name="Department 4">
              <a:extLst>
                <a:ext uri="{FF2B5EF4-FFF2-40B4-BE49-F238E27FC236}">
                  <a16:creationId xmlns:a16="http://schemas.microsoft.com/office/drawing/2014/main" id="{E7EE10AC-66B5-411B-9B1E-3C28D9A2C96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260426" y="2320522"/>
              <a:ext cx="1383573" cy="2022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500843</xdr:colOff>
      <xdr:row>1</xdr:row>
      <xdr:rowOff>112915</xdr:rowOff>
    </xdr:from>
    <xdr:to>
      <xdr:col>2</xdr:col>
      <xdr:colOff>7924</xdr:colOff>
      <xdr:row>5</xdr:row>
      <xdr:rowOff>105295</xdr:rowOff>
    </xdr:to>
    <xdr:pic>
      <xdr:nvPicPr>
        <xdr:cNvPr id="17" name="Picture 16">
          <a:extLst>
            <a:ext uri="{FF2B5EF4-FFF2-40B4-BE49-F238E27FC236}">
              <a16:creationId xmlns:a16="http://schemas.microsoft.com/office/drawing/2014/main" id="{164C97DE-69F2-4DE1-B807-93C599C98047}"/>
            </a:ext>
          </a:extLst>
        </xdr:cNvPr>
        <xdr:cNvPicPr>
          <a:picLocks noChangeAspect="1"/>
        </xdr:cNvPicPr>
      </xdr:nvPicPr>
      <xdr:blipFill>
        <a:blip xmlns:r="http://schemas.openxmlformats.org/officeDocument/2006/relationships" r:embed="rId1">
          <a:duotone>
            <a:prstClr val="black"/>
            <a:schemeClr val="bg1">
              <a:tint val="45000"/>
              <a:satMod val="400000"/>
            </a:schemeClr>
          </a:duotone>
        </a:blip>
        <a:stretch>
          <a:fillRect/>
        </a:stretch>
      </xdr:blipFill>
      <xdr:spPr>
        <a:xfrm>
          <a:off x="500843" y="303415"/>
          <a:ext cx="719354" cy="754380"/>
        </a:xfrm>
        <a:prstGeom prst="rect">
          <a:avLst/>
        </a:prstGeom>
      </xdr:spPr>
    </xdr:pic>
    <xdr:clientData/>
  </xdr:twoCellAnchor>
  <xdr:twoCellAnchor>
    <xdr:from>
      <xdr:col>7</xdr:col>
      <xdr:colOff>53340</xdr:colOff>
      <xdr:row>1</xdr:row>
      <xdr:rowOff>85898</xdr:rowOff>
    </xdr:from>
    <xdr:to>
      <xdr:col>29</xdr:col>
      <xdr:colOff>492442</xdr:colOff>
      <xdr:row>3</xdr:row>
      <xdr:rowOff>164480</xdr:rowOff>
    </xdr:to>
    <xdr:sp macro="" textlink="">
      <xdr:nvSpPr>
        <xdr:cNvPr id="18" name="TextBox 17">
          <a:extLst>
            <a:ext uri="{FF2B5EF4-FFF2-40B4-BE49-F238E27FC236}">
              <a16:creationId xmlns:a16="http://schemas.microsoft.com/office/drawing/2014/main" id="{857F0A4E-F5A6-41BE-8A28-DE49B4B413D7}"/>
            </a:ext>
          </a:extLst>
        </xdr:cNvPr>
        <xdr:cNvSpPr txBox="1"/>
      </xdr:nvSpPr>
      <xdr:spPr>
        <a:xfrm>
          <a:off x="4296295" y="276398"/>
          <a:ext cx="13774102" cy="4595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Sitka Display" pitchFamily="2" charset="0"/>
              <a:ea typeface="+mn-ea"/>
              <a:cs typeface="+mn-cs"/>
            </a:rPr>
            <a:t>HOSPITAL EQUIPMENT ANALYISIS DASHBOARD</a:t>
          </a:r>
        </a:p>
      </xdr:txBody>
    </xdr:sp>
    <xdr:clientData/>
  </xdr:twoCellAnchor>
  <xdr:twoCellAnchor>
    <xdr:from>
      <xdr:col>13</xdr:col>
      <xdr:colOff>161450</xdr:colOff>
      <xdr:row>4</xdr:row>
      <xdr:rowOff>14937</xdr:rowOff>
    </xdr:from>
    <xdr:to>
      <xdr:col>23</xdr:col>
      <xdr:colOff>359570</xdr:colOff>
      <xdr:row>5</xdr:row>
      <xdr:rowOff>121617</xdr:rowOff>
    </xdr:to>
    <xdr:sp macro="" textlink="">
      <xdr:nvSpPr>
        <xdr:cNvPr id="19" name="TextBox 18">
          <a:extLst>
            <a:ext uri="{FF2B5EF4-FFF2-40B4-BE49-F238E27FC236}">
              <a16:creationId xmlns:a16="http://schemas.microsoft.com/office/drawing/2014/main" id="{BD534974-D62F-4A15-8193-869674ED0AF9}"/>
            </a:ext>
          </a:extLst>
        </xdr:cNvPr>
        <xdr:cNvSpPr txBox="1"/>
      </xdr:nvSpPr>
      <xdr:spPr>
        <a:xfrm>
          <a:off x="8041223" y="776937"/>
          <a:ext cx="6259483"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u="none">
              <a:solidFill>
                <a:schemeClr val="bg1"/>
              </a:solidFill>
              <a:latin typeface="High Tower Text" panose="02040502050506030303" pitchFamily="18" charset="0"/>
              <a:cs typeface="Times New Roman" panose="02020603050405020304" pitchFamily="18" charset="0"/>
            </a:rPr>
            <a:t>Data</a:t>
          </a:r>
          <a:r>
            <a:rPr lang="en-IN" sz="1200" b="1" i="1" u="none" baseline="0">
              <a:solidFill>
                <a:schemeClr val="bg1"/>
              </a:solidFill>
              <a:latin typeface="High Tower Text" panose="02040502050506030303" pitchFamily="18" charset="0"/>
              <a:cs typeface="Times New Roman" panose="02020603050405020304" pitchFamily="18" charset="0"/>
            </a:rPr>
            <a:t> Driven Insights for Better Healthcare Operations</a:t>
          </a:r>
          <a:endParaRPr lang="en-IN" sz="1200" b="1" i="1" u="none">
            <a:solidFill>
              <a:schemeClr val="bg1"/>
            </a:solidFill>
            <a:latin typeface="High Tower Text" panose="02040502050506030303" pitchFamily="18" charset="0"/>
            <a:cs typeface="Times New Roman" panose="02020603050405020304" pitchFamily="18" charset="0"/>
          </a:endParaRPr>
        </a:p>
      </xdr:txBody>
    </xdr:sp>
    <xdr:clientData/>
  </xdr:twoCellAnchor>
  <xdr:twoCellAnchor editAs="oneCell">
    <xdr:from>
      <xdr:col>33</xdr:col>
      <xdr:colOff>241460</xdr:colOff>
      <xdr:row>2</xdr:row>
      <xdr:rowOff>88756</xdr:rowOff>
    </xdr:from>
    <xdr:to>
      <xdr:col>34</xdr:col>
      <xdr:colOff>71439</xdr:colOff>
      <xdr:row>4</xdr:row>
      <xdr:rowOff>160670</xdr:rowOff>
    </xdr:to>
    <xdr:pic>
      <xdr:nvPicPr>
        <xdr:cNvPr id="23" name="Graphic 22" descr="Daily calendar with solid fill">
          <a:extLst>
            <a:ext uri="{FF2B5EF4-FFF2-40B4-BE49-F238E27FC236}">
              <a16:creationId xmlns:a16="http://schemas.microsoft.com/office/drawing/2014/main" id="{C3E81E52-3681-4DE3-AA40-A96831CDD5F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243960" y="469756"/>
          <a:ext cx="436115" cy="452914"/>
        </a:xfrm>
        <a:prstGeom prst="rect">
          <a:avLst/>
        </a:prstGeom>
      </xdr:spPr>
    </xdr:pic>
    <xdr:clientData/>
  </xdr:twoCellAnchor>
  <xdr:twoCellAnchor>
    <xdr:from>
      <xdr:col>34</xdr:col>
      <xdr:colOff>130812</xdr:colOff>
      <xdr:row>2</xdr:row>
      <xdr:rowOff>60656</xdr:rowOff>
    </xdr:from>
    <xdr:to>
      <xdr:col>35</xdr:col>
      <xdr:colOff>507844</xdr:colOff>
      <xdr:row>3</xdr:row>
      <xdr:rowOff>131178</xdr:rowOff>
    </xdr:to>
    <xdr:sp macro="" textlink="">
      <xdr:nvSpPr>
        <xdr:cNvPr id="27" name="TextBox 26">
          <a:extLst>
            <a:ext uri="{FF2B5EF4-FFF2-40B4-BE49-F238E27FC236}">
              <a16:creationId xmlns:a16="http://schemas.microsoft.com/office/drawing/2014/main" id="{8186DE9B-35A4-4E97-9F38-99BC7214CFD3}"/>
            </a:ext>
          </a:extLst>
        </xdr:cNvPr>
        <xdr:cNvSpPr txBox="1"/>
      </xdr:nvSpPr>
      <xdr:spPr>
        <a:xfrm>
          <a:off x="20739448" y="441656"/>
          <a:ext cx="983169" cy="2610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latin typeface="Aptos Narrow" panose="020B0004020202020204" pitchFamily="34" charset="0"/>
            </a:rPr>
            <a:t>Report Date</a:t>
          </a:r>
        </a:p>
      </xdr:txBody>
    </xdr:sp>
    <xdr:clientData/>
  </xdr:twoCellAnchor>
  <xdr:twoCellAnchor>
    <xdr:from>
      <xdr:col>34</xdr:col>
      <xdr:colOff>96692</xdr:colOff>
      <xdr:row>3</xdr:row>
      <xdr:rowOff>105510</xdr:rowOff>
    </xdr:from>
    <xdr:to>
      <xdr:col>36</xdr:col>
      <xdr:colOff>34169</xdr:colOff>
      <xdr:row>5</xdr:row>
      <xdr:rowOff>66432</xdr:rowOff>
    </xdr:to>
    <xdr:sp macro="" textlink="">
      <xdr:nvSpPr>
        <xdr:cNvPr id="29" name="TextBox 28">
          <a:extLst>
            <a:ext uri="{FF2B5EF4-FFF2-40B4-BE49-F238E27FC236}">
              <a16:creationId xmlns:a16="http://schemas.microsoft.com/office/drawing/2014/main" id="{83AFC2D2-4FB4-49D5-B709-990603EEECB8}"/>
            </a:ext>
          </a:extLst>
        </xdr:cNvPr>
        <xdr:cNvSpPr txBox="1"/>
      </xdr:nvSpPr>
      <xdr:spPr>
        <a:xfrm>
          <a:off x="20705328" y="677010"/>
          <a:ext cx="1149750" cy="3419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1">
              <a:solidFill>
                <a:schemeClr val="bg1"/>
              </a:solidFill>
              <a:effectLst/>
              <a:latin typeface="Aptos Narrow" panose="020B0004020202020204" pitchFamily="34" charset="0"/>
              <a:ea typeface="+mn-ea"/>
              <a:cs typeface="+mn-cs"/>
            </a:rPr>
            <a:t>20 May 2025</a:t>
          </a:r>
          <a:endParaRPr lang="en-IN" b="1" i="1">
            <a:solidFill>
              <a:schemeClr val="bg1"/>
            </a:solidFill>
            <a:effectLst/>
            <a:latin typeface="Aptos Narrow" panose="020B0004020202020204" pitchFamily="34" charset="0"/>
          </a:endParaRPr>
        </a:p>
        <a:p>
          <a:endParaRPr lang="en-IN" sz="1000" b="1" i="1">
            <a:solidFill>
              <a:schemeClr val="bg1"/>
            </a:solidFill>
            <a:latin typeface="Aptos Narrow" panose="020B0004020202020204" pitchFamily="34" charset="0"/>
          </a:endParaRPr>
        </a:p>
      </xdr:txBody>
    </xdr:sp>
    <xdr:clientData/>
  </xdr:twoCellAnchor>
  <xdr:twoCellAnchor>
    <xdr:from>
      <xdr:col>0</xdr:col>
      <xdr:colOff>236962</xdr:colOff>
      <xdr:row>6</xdr:row>
      <xdr:rowOff>17318</xdr:rowOff>
    </xdr:from>
    <xdr:to>
      <xdr:col>3</xdr:col>
      <xdr:colOff>590500</xdr:colOff>
      <xdr:row>10</xdr:row>
      <xdr:rowOff>108758</xdr:rowOff>
    </xdr:to>
    <xdr:sp macro="" textlink="">
      <xdr:nvSpPr>
        <xdr:cNvPr id="30" name="Rectangle: Rounded Corners 29">
          <a:extLst>
            <a:ext uri="{FF2B5EF4-FFF2-40B4-BE49-F238E27FC236}">
              <a16:creationId xmlns:a16="http://schemas.microsoft.com/office/drawing/2014/main" id="{3A6FF9EF-B4D9-4A38-9D67-070649ED018E}"/>
            </a:ext>
          </a:extLst>
        </xdr:cNvPr>
        <xdr:cNvSpPr/>
      </xdr:nvSpPr>
      <xdr:spPr>
        <a:xfrm>
          <a:off x="236962" y="1160318"/>
          <a:ext cx="2171947" cy="85344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366703</xdr:colOff>
      <xdr:row>6</xdr:row>
      <xdr:rowOff>82106</xdr:rowOff>
    </xdr:from>
    <xdr:to>
      <xdr:col>10</xdr:col>
      <xdr:colOff>114621</xdr:colOff>
      <xdr:row>10</xdr:row>
      <xdr:rowOff>162340</xdr:rowOff>
    </xdr:to>
    <xdr:sp macro="" textlink="">
      <xdr:nvSpPr>
        <xdr:cNvPr id="37" name="Rectangle: Rounded Corners 36">
          <a:extLst>
            <a:ext uri="{FF2B5EF4-FFF2-40B4-BE49-F238E27FC236}">
              <a16:creationId xmlns:a16="http://schemas.microsoft.com/office/drawing/2014/main" id="{509265A2-C2DE-4532-A459-6A44AF9ED7F7}"/>
            </a:ext>
          </a:extLst>
        </xdr:cNvPr>
        <xdr:cNvSpPr/>
      </xdr:nvSpPr>
      <xdr:spPr>
        <a:xfrm>
          <a:off x="4003521" y="1225106"/>
          <a:ext cx="2172464" cy="842234"/>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78</a:t>
          </a:r>
        </a:p>
      </xdr:txBody>
    </xdr:sp>
    <xdr:clientData/>
  </xdr:twoCellAnchor>
  <xdr:twoCellAnchor>
    <xdr:from>
      <xdr:col>13</xdr:col>
      <xdr:colOff>127593</xdr:colOff>
      <xdr:row>6</xdr:row>
      <xdr:rowOff>65190</xdr:rowOff>
    </xdr:from>
    <xdr:to>
      <xdr:col>16</xdr:col>
      <xdr:colOff>486741</xdr:colOff>
      <xdr:row>10</xdr:row>
      <xdr:rowOff>145424</xdr:rowOff>
    </xdr:to>
    <xdr:sp macro="" textlink="">
      <xdr:nvSpPr>
        <xdr:cNvPr id="38" name="Rectangle: Rounded Corners 37">
          <a:extLst>
            <a:ext uri="{FF2B5EF4-FFF2-40B4-BE49-F238E27FC236}">
              <a16:creationId xmlns:a16="http://schemas.microsoft.com/office/drawing/2014/main" id="{CBBBAE64-C35D-4F8C-80B8-560A8680386A}"/>
            </a:ext>
          </a:extLst>
        </xdr:cNvPr>
        <xdr:cNvSpPr/>
      </xdr:nvSpPr>
      <xdr:spPr>
        <a:xfrm>
          <a:off x="8007366" y="1208190"/>
          <a:ext cx="2177557" cy="842234"/>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223987</xdr:colOff>
      <xdr:row>6</xdr:row>
      <xdr:rowOff>129505</xdr:rowOff>
    </xdr:from>
    <xdr:to>
      <xdr:col>23</xdr:col>
      <xdr:colOff>577526</xdr:colOff>
      <xdr:row>11</xdr:row>
      <xdr:rowOff>19239</xdr:rowOff>
    </xdr:to>
    <xdr:sp macro="" textlink="">
      <xdr:nvSpPr>
        <xdr:cNvPr id="39" name="Rectangle: Rounded Corners 38">
          <a:extLst>
            <a:ext uri="{FF2B5EF4-FFF2-40B4-BE49-F238E27FC236}">
              <a16:creationId xmlns:a16="http://schemas.microsoft.com/office/drawing/2014/main" id="{41A59452-FAB6-4515-84B7-FDF820EED4B5}"/>
            </a:ext>
          </a:extLst>
        </xdr:cNvPr>
        <xdr:cNvSpPr/>
      </xdr:nvSpPr>
      <xdr:spPr>
        <a:xfrm>
          <a:off x="12346714" y="1272505"/>
          <a:ext cx="2171948" cy="842234"/>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518654</xdr:colOff>
      <xdr:row>6</xdr:row>
      <xdr:rowOff>88802</xdr:rowOff>
    </xdr:from>
    <xdr:to>
      <xdr:col>30</xdr:col>
      <xdr:colOff>189115</xdr:colOff>
      <xdr:row>10</xdr:row>
      <xdr:rowOff>173673</xdr:rowOff>
    </xdr:to>
    <xdr:sp macro="" textlink="">
      <xdr:nvSpPr>
        <xdr:cNvPr id="40" name="Rectangle: Rounded Corners 39">
          <a:extLst>
            <a:ext uri="{FF2B5EF4-FFF2-40B4-BE49-F238E27FC236}">
              <a16:creationId xmlns:a16="http://schemas.microsoft.com/office/drawing/2014/main" id="{6FA75750-FC6A-48C8-A3A1-9EB7C30BBDB0}"/>
            </a:ext>
          </a:extLst>
        </xdr:cNvPr>
        <xdr:cNvSpPr/>
      </xdr:nvSpPr>
      <xdr:spPr>
        <a:xfrm>
          <a:off x="16278199" y="1231802"/>
          <a:ext cx="2095007" cy="846871"/>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315995</xdr:colOff>
      <xdr:row>6</xdr:row>
      <xdr:rowOff>137131</xdr:rowOff>
    </xdr:from>
    <xdr:to>
      <xdr:col>1</xdr:col>
      <xdr:colOff>251142</xdr:colOff>
      <xdr:row>10</xdr:row>
      <xdr:rowOff>62745</xdr:rowOff>
    </xdr:to>
    <xdr:pic>
      <xdr:nvPicPr>
        <xdr:cNvPr id="41" name="Picture 40" descr="Medical equipment icon outline vector. Hospital patient 15156928 Vector ...">
          <a:extLst>
            <a:ext uri="{FF2B5EF4-FFF2-40B4-BE49-F238E27FC236}">
              <a16:creationId xmlns:a16="http://schemas.microsoft.com/office/drawing/2014/main" id="{00F514B4-1B76-444D-A22D-912DA3B5CE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315995" y="1280131"/>
          <a:ext cx="541283" cy="687614"/>
        </a:xfrm>
        <a:prstGeom prst="rect">
          <a:avLst/>
        </a:prstGeom>
        <a:noFill/>
      </xdr:spPr>
    </xdr:pic>
    <xdr:clientData/>
  </xdr:twoCellAnchor>
  <xdr:twoCellAnchor>
    <xdr:from>
      <xdr:col>1</xdr:col>
      <xdr:colOff>158608</xdr:colOff>
      <xdr:row>7</xdr:row>
      <xdr:rowOff>1169</xdr:rowOff>
    </xdr:from>
    <xdr:to>
      <xdr:col>3</xdr:col>
      <xdr:colOff>583075</xdr:colOff>
      <xdr:row>8</xdr:row>
      <xdr:rowOff>21355</xdr:rowOff>
    </xdr:to>
    <xdr:sp macro="" textlink="">
      <xdr:nvSpPr>
        <xdr:cNvPr id="43" name="TextBox 42">
          <a:extLst>
            <a:ext uri="{FF2B5EF4-FFF2-40B4-BE49-F238E27FC236}">
              <a16:creationId xmlns:a16="http://schemas.microsoft.com/office/drawing/2014/main" id="{E09825A1-D8A1-4F1D-BB01-605B142CF317}"/>
            </a:ext>
          </a:extLst>
        </xdr:cNvPr>
        <xdr:cNvSpPr txBox="1"/>
      </xdr:nvSpPr>
      <xdr:spPr>
        <a:xfrm>
          <a:off x="764744" y="1334669"/>
          <a:ext cx="1636740" cy="2106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High Tower Text" panose="02040502050506030303" pitchFamily="18" charset="0"/>
            </a:rPr>
            <a:t>TOTAL EQUIPMENT</a:t>
          </a:r>
        </a:p>
      </xdr:txBody>
    </xdr:sp>
    <xdr:clientData/>
  </xdr:twoCellAnchor>
  <xdr:twoCellAnchor>
    <xdr:from>
      <xdr:col>2</xdr:col>
      <xdr:colOff>133374</xdr:colOff>
      <xdr:row>7</xdr:row>
      <xdr:rowOff>186624</xdr:rowOff>
    </xdr:from>
    <xdr:to>
      <xdr:col>3</xdr:col>
      <xdr:colOff>148514</xdr:colOff>
      <xdr:row>9</xdr:row>
      <xdr:rowOff>105883</xdr:rowOff>
    </xdr:to>
    <xdr:sp macro="" textlink="Hospital_Equipment_Analysis!O2">
      <xdr:nvSpPr>
        <xdr:cNvPr id="46" name="TextBox 45">
          <a:extLst>
            <a:ext uri="{FF2B5EF4-FFF2-40B4-BE49-F238E27FC236}">
              <a16:creationId xmlns:a16="http://schemas.microsoft.com/office/drawing/2014/main" id="{9FCC2EE4-0495-442D-B38B-1AF7A868D1A5}"/>
            </a:ext>
          </a:extLst>
        </xdr:cNvPr>
        <xdr:cNvSpPr txBox="1"/>
      </xdr:nvSpPr>
      <xdr:spPr>
        <a:xfrm>
          <a:off x="1345647" y="1520124"/>
          <a:ext cx="621276" cy="30025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latin typeface="Times New Roman" panose="02020603050405020304" pitchFamily="18" charset="0"/>
              <a:cs typeface="Times New Roman" panose="02020603050405020304" pitchFamily="18" charset="0"/>
            </a:rPr>
            <a:t>300</a:t>
          </a:r>
        </a:p>
      </xdr:txBody>
    </xdr:sp>
    <xdr:clientData/>
  </xdr:twoCellAnchor>
  <xdr:twoCellAnchor editAs="oneCell">
    <xdr:from>
      <xdr:col>6</xdr:col>
      <xdr:colOff>443165</xdr:colOff>
      <xdr:row>7</xdr:row>
      <xdr:rowOff>26971</xdr:rowOff>
    </xdr:from>
    <xdr:to>
      <xdr:col>7</xdr:col>
      <xdr:colOff>510402</xdr:colOff>
      <xdr:row>10</xdr:row>
      <xdr:rowOff>89466</xdr:rowOff>
    </xdr:to>
    <xdr:pic>
      <xdr:nvPicPr>
        <xdr:cNvPr id="47" name="Picture 46">
          <a:extLst>
            <a:ext uri="{FF2B5EF4-FFF2-40B4-BE49-F238E27FC236}">
              <a16:creationId xmlns:a16="http://schemas.microsoft.com/office/drawing/2014/main" id="{A1889958-BE1E-4FA9-A7FC-FF15F4761E87}"/>
            </a:ext>
          </a:extLst>
        </xdr:cNvPr>
        <xdr:cNvPicPr>
          <a:picLocks noChangeAspect="1"/>
        </xdr:cNvPicPr>
      </xdr:nvPicPr>
      <xdr:blipFill rotWithShape="1">
        <a:blip xmlns:r="http://schemas.openxmlformats.org/officeDocument/2006/relationships" r:embed="rId5"/>
        <a:srcRect t="10715" b="16071"/>
        <a:stretch>
          <a:fillRect/>
        </a:stretch>
      </xdr:blipFill>
      <xdr:spPr>
        <a:xfrm>
          <a:off x="4079983" y="1360471"/>
          <a:ext cx="673374" cy="633995"/>
        </a:xfrm>
        <a:prstGeom prst="rect">
          <a:avLst/>
        </a:prstGeom>
        <a:noFill/>
      </xdr:spPr>
    </xdr:pic>
    <xdr:clientData/>
  </xdr:twoCellAnchor>
  <xdr:twoCellAnchor>
    <xdr:from>
      <xdr:col>7</xdr:col>
      <xdr:colOff>265671</xdr:colOff>
      <xdr:row>7</xdr:row>
      <xdr:rowOff>67488</xdr:rowOff>
    </xdr:from>
    <xdr:to>
      <xdr:col>10</xdr:col>
      <xdr:colOff>326228</xdr:colOff>
      <xdr:row>8</xdr:row>
      <xdr:rowOff>103928</xdr:rowOff>
    </xdr:to>
    <xdr:sp macro="" textlink="">
      <xdr:nvSpPr>
        <xdr:cNvPr id="50" name="TextBox 49">
          <a:extLst>
            <a:ext uri="{FF2B5EF4-FFF2-40B4-BE49-F238E27FC236}">
              <a16:creationId xmlns:a16="http://schemas.microsoft.com/office/drawing/2014/main" id="{96BD339F-02D2-4490-A573-52836A8930A0}"/>
            </a:ext>
          </a:extLst>
        </xdr:cNvPr>
        <xdr:cNvSpPr txBox="1"/>
      </xdr:nvSpPr>
      <xdr:spPr>
        <a:xfrm>
          <a:off x="4508626" y="1400988"/>
          <a:ext cx="1878966" cy="2269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High Tower Text" panose="02040502050506030303" pitchFamily="18" charset="0"/>
            </a:rPr>
            <a:t>TOTAL DEPARTMENT</a:t>
          </a:r>
        </a:p>
      </xdr:txBody>
    </xdr:sp>
    <xdr:clientData/>
  </xdr:twoCellAnchor>
  <xdr:twoCellAnchor>
    <xdr:from>
      <xdr:col>8</xdr:col>
      <xdr:colOff>217281</xdr:colOff>
      <xdr:row>8</xdr:row>
      <xdr:rowOff>102023</xdr:rowOff>
    </xdr:from>
    <xdr:to>
      <xdr:col>9</xdr:col>
      <xdr:colOff>232420</xdr:colOff>
      <xdr:row>10</xdr:row>
      <xdr:rowOff>10076</xdr:rowOff>
    </xdr:to>
    <xdr:sp macro="" textlink="">
      <xdr:nvSpPr>
        <xdr:cNvPr id="54" name="TextBox 53">
          <a:extLst>
            <a:ext uri="{FF2B5EF4-FFF2-40B4-BE49-F238E27FC236}">
              <a16:creationId xmlns:a16="http://schemas.microsoft.com/office/drawing/2014/main" id="{476DD11E-EB86-4A5E-9353-CEEFAC5E30BA}"/>
            </a:ext>
          </a:extLst>
        </xdr:cNvPr>
        <xdr:cNvSpPr txBox="1"/>
      </xdr:nvSpPr>
      <xdr:spPr>
        <a:xfrm>
          <a:off x="5066372" y="1626023"/>
          <a:ext cx="621275" cy="289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latin typeface="Times New Roman" panose="02020603050405020304" pitchFamily="18" charset="0"/>
              <a:cs typeface="Times New Roman" panose="02020603050405020304" pitchFamily="18" charset="0"/>
            </a:rPr>
            <a:t>7</a:t>
          </a:r>
        </a:p>
      </xdr:txBody>
    </xdr:sp>
    <xdr:clientData/>
  </xdr:twoCellAnchor>
  <xdr:twoCellAnchor editAs="oneCell">
    <xdr:from>
      <xdr:col>13</xdr:col>
      <xdr:colOff>206723</xdr:colOff>
      <xdr:row>7</xdr:row>
      <xdr:rowOff>37992</xdr:rowOff>
    </xdr:from>
    <xdr:to>
      <xdr:col>14</xdr:col>
      <xdr:colOff>243358</xdr:colOff>
      <xdr:row>10</xdr:row>
      <xdr:rowOff>140569</xdr:rowOff>
    </xdr:to>
    <xdr:pic>
      <xdr:nvPicPr>
        <xdr:cNvPr id="55" name="Graphic 54" descr="Upward trend with solid fill">
          <a:extLst>
            <a:ext uri="{FF2B5EF4-FFF2-40B4-BE49-F238E27FC236}">
              <a16:creationId xmlns:a16="http://schemas.microsoft.com/office/drawing/2014/main" id="{214C0B32-AE21-4BCD-891B-EC445DB26C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086496" y="1371492"/>
          <a:ext cx="642771" cy="674077"/>
        </a:xfrm>
        <a:prstGeom prst="rect">
          <a:avLst/>
        </a:prstGeom>
      </xdr:spPr>
    </xdr:pic>
    <xdr:clientData/>
  </xdr:twoCellAnchor>
  <xdr:twoCellAnchor>
    <xdr:from>
      <xdr:col>14</xdr:col>
      <xdr:colOff>523500</xdr:colOff>
      <xdr:row>8</xdr:row>
      <xdr:rowOff>59996</xdr:rowOff>
    </xdr:from>
    <xdr:to>
      <xdr:col>15</xdr:col>
      <xdr:colOff>538640</xdr:colOff>
      <xdr:row>9</xdr:row>
      <xdr:rowOff>158549</xdr:rowOff>
    </xdr:to>
    <xdr:sp macro="" textlink="Hospital_Equipment_Analysis!O2">
      <xdr:nvSpPr>
        <xdr:cNvPr id="57" name="TextBox 56">
          <a:extLst>
            <a:ext uri="{FF2B5EF4-FFF2-40B4-BE49-F238E27FC236}">
              <a16:creationId xmlns:a16="http://schemas.microsoft.com/office/drawing/2014/main" id="{4580FCE2-FA6A-42A2-BB11-C9735E14E6B6}"/>
            </a:ext>
          </a:extLst>
        </xdr:cNvPr>
        <xdr:cNvSpPr txBox="1"/>
      </xdr:nvSpPr>
      <xdr:spPr>
        <a:xfrm>
          <a:off x="9009409" y="1583996"/>
          <a:ext cx="621276" cy="289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latin typeface="Times New Roman" panose="02020603050405020304" pitchFamily="18" charset="0"/>
              <a:cs typeface="Times New Roman" panose="02020603050405020304" pitchFamily="18" charset="0"/>
            </a:rPr>
            <a:t>63%</a:t>
          </a:r>
        </a:p>
      </xdr:txBody>
    </xdr:sp>
    <xdr:clientData/>
  </xdr:twoCellAnchor>
  <xdr:twoCellAnchor>
    <xdr:from>
      <xdr:col>21</xdr:col>
      <xdr:colOff>536786</xdr:colOff>
      <xdr:row>8</xdr:row>
      <xdr:rowOff>133325</xdr:rowOff>
    </xdr:from>
    <xdr:to>
      <xdr:col>22</xdr:col>
      <xdr:colOff>551926</xdr:colOff>
      <xdr:row>10</xdr:row>
      <xdr:rowOff>41378</xdr:rowOff>
    </xdr:to>
    <xdr:sp macro="" textlink="Hospital_Equipment_Analysis!O2">
      <xdr:nvSpPr>
        <xdr:cNvPr id="59" name="TextBox 58">
          <a:extLst>
            <a:ext uri="{FF2B5EF4-FFF2-40B4-BE49-F238E27FC236}">
              <a16:creationId xmlns:a16="http://schemas.microsoft.com/office/drawing/2014/main" id="{FF7525B3-5367-435C-AD56-1839EE202076}"/>
            </a:ext>
          </a:extLst>
        </xdr:cNvPr>
        <xdr:cNvSpPr txBox="1"/>
      </xdr:nvSpPr>
      <xdr:spPr>
        <a:xfrm>
          <a:off x="13265650" y="1657325"/>
          <a:ext cx="621276" cy="2890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latin typeface="Times New Roman" panose="02020603050405020304" pitchFamily="18" charset="0"/>
              <a:cs typeface="Times New Roman" panose="02020603050405020304" pitchFamily="18" charset="0"/>
            </a:rPr>
            <a:t>67%</a:t>
          </a:r>
        </a:p>
      </xdr:txBody>
    </xdr:sp>
    <xdr:clientData/>
  </xdr:twoCellAnchor>
  <xdr:twoCellAnchor>
    <xdr:from>
      <xdr:col>28</xdr:col>
      <xdr:colOff>156359</xdr:colOff>
      <xdr:row>7</xdr:row>
      <xdr:rowOff>80211</xdr:rowOff>
    </xdr:from>
    <xdr:to>
      <xdr:col>29</xdr:col>
      <xdr:colOff>553452</xdr:colOff>
      <xdr:row>11</xdr:row>
      <xdr:rowOff>112295</xdr:rowOff>
    </xdr:to>
    <xdr:sp macro="" textlink="Hospital_Equipment_Analysis!O2">
      <xdr:nvSpPr>
        <xdr:cNvPr id="16387" name="TextBox 16386">
          <a:extLst>
            <a:ext uri="{FF2B5EF4-FFF2-40B4-BE49-F238E27FC236}">
              <a16:creationId xmlns:a16="http://schemas.microsoft.com/office/drawing/2014/main" id="{D6D0145A-D7D3-4FF9-A830-67D1C7CB9E4D}"/>
            </a:ext>
          </a:extLst>
        </xdr:cNvPr>
        <xdr:cNvSpPr txBox="1"/>
      </xdr:nvSpPr>
      <xdr:spPr>
        <a:xfrm>
          <a:off x="17225159" y="1371600"/>
          <a:ext cx="1006693" cy="77002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latin typeface="Times New Roman" panose="02020603050405020304" pitchFamily="18" charset="0"/>
              <a:cs typeface="Times New Roman" panose="02020603050405020304" pitchFamily="18" charset="0"/>
            </a:rPr>
            <a:t>712</a:t>
          </a:r>
        </a:p>
        <a:p>
          <a:pPr algn="ctr"/>
          <a:r>
            <a:rPr lang="en-IN" sz="1400" b="1" i="1">
              <a:latin typeface="Times New Roman" panose="02020603050405020304" pitchFamily="18" charset="0"/>
              <a:cs typeface="Times New Roman" panose="02020603050405020304" pitchFamily="18" charset="0"/>
            </a:rPr>
            <a:t>HOURS</a:t>
          </a:r>
        </a:p>
      </xdr:txBody>
    </xdr:sp>
    <xdr:clientData/>
  </xdr:twoCellAnchor>
  <xdr:twoCellAnchor>
    <xdr:from>
      <xdr:col>13</xdr:col>
      <xdr:colOff>498287</xdr:colOff>
      <xdr:row>6</xdr:row>
      <xdr:rowOff>147133</xdr:rowOff>
    </xdr:from>
    <xdr:to>
      <xdr:col>16</xdr:col>
      <xdr:colOff>316617</xdr:colOff>
      <xdr:row>7</xdr:row>
      <xdr:rowOff>167319</xdr:rowOff>
    </xdr:to>
    <xdr:sp macro="" textlink="">
      <xdr:nvSpPr>
        <xdr:cNvPr id="16388" name="TextBox 16387">
          <a:extLst>
            <a:ext uri="{FF2B5EF4-FFF2-40B4-BE49-F238E27FC236}">
              <a16:creationId xmlns:a16="http://schemas.microsoft.com/office/drawing/2014/main" id="{257F3E7F-B268-4888-8B56-10AE7ED01BD4}"/>
            </a:ext>
          </a:extLst>
        </xdr:cNvPr>
        <xdr:cNvSpPr txBox="1"/>
      </xdr:nvSpPr>
      <xdr:spPr>
        <a:xfrm>
          <a:off x="8378060" y="1290133"/>
          <a:ext cx="1636739" cy="2106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High Tower Text" panose="02040502050506030303" pitchFamily="18" charset="0"/>
            </a:rPr>
            <a:t>AVG</a:t>
          </a:r>
          <a:r>
            <a:rPr lang="en-IN" sz="1100" b="1" baseline="0">
              <a:latin typeface="High Tower Text" panose="02040502050506030303" pitchFamily="18" charset="0"/>
            </a:rPr>
            <a:t>.UTILIZATION RATE</a:t>
          </a:r>
        </a:p>
        <a:p>
          <a:endParaRPr lang="en-IN" sz="1100" b="1">
            <a:latin typeface="High Tower Text" panose="02040502050506030303" pitchFamily="18" charset="0"/>
          </a:endParaRPr>
        </a:p>
      </xdr:txBody>
    </xdr:sp>
    <xdr:clientData/>
  </xdr:twoCellAnchor>
  <xdr:twoCellAnchor>
    <xdr:from>
      <xdr:col>21</xdr:col>
      <xdr:colOff>74278</xdr:colOff>
      <xdr:row>7</xdr:row>
      <xdr:rowOff>16111</xdr:rowOff>
    </xdr:from>
    <xdr:to>
      <xdr:col>23</xdr:col>
      <xdr:colOff>505197</xdr:colOff>
      <xdr:row>8</xdr:row>
      <xdr:rowOff>36297</xdr:rowOff>
    </xdr:to>
    <xdr:sp macro="" textlink="">
      <xdr:nvSpPr>
        <xdr:cNvPr id="16390" name="TextBox 16389">
          <a:extLst>
            <a:ext uri="{FF2B5EF4-FFF2-40B4-BE49-F238E27FC236}">
              <a16:creationId xmlns:a16="http://schemas.microsoft.com/office/drawing/2014/main" id="{300B63F0-5EE1-47B1-B68D-7665743A28DD}"/>
            </a:ext>
          </a:extLst>
        </xdr:cNvPr>
        <xdr:cNvSpPr txBox="1"/>
      </xdr:nvSpPr>
      <xdr:spPr>
        <a:xfrm>
          <a:off x="12803142" y="1349611"/>
          <a:ext cx="1643191" cy="2106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High Tower Text" panose="02040502050506030303" pitchFamily="18" charset="0"/>
            </a:rPr>
            <a:t>AVG.EFFICIENCY</a:t>
          </a:r>
        </a:p>
      </xdr:txBody>
    </xdr:sp>
    <xdr:clientData/>
  </xdr:twoCellAnchor>
  <xdr:twoCellAnchor>
    <xdr:from>
      <xdr:col>27</xdr:col>
      <xdr:colOff>362470</xdr:colOff>
      <xdr:row>7</xdr:row>
      <xdr:rowOff>24012</xdr:rowOff>
    </xdr:from>
    <xdr:to>
      <xdr:col>30</xdr:col>
      <xdr:colOff>176346</xdr:colOff>
      <xdr:row>8</xdr:row>
      <xdr:rowOff>44198</xdr:rowOff>
    </xdr:to>
    <xdr:sp macro="" textlink="">
      <xdr:nvSpPr>
        <xdr:cNvPr id="16393" name="TextBox 16392">
          <a:extLst>
            <a:ext uri="{FF2B5EF4-FFF2-40B4-BE49-F238E27FC236}">
              <a16:creationId xmlns:a16="http://schemas.microsoft.com/office/drawing/2014/main" id="{91466D41-F87D-4F66-B086-24101A2FBBA8}"/>
            </a:ext>
          </a:extLst>
        </xdr:cNvPr>
        <xdr:cNvSpPr txBox="1"/>
      </xdr:nvSpPr>
      <xdr:spPr>
        <a:xfrm>
          <a:off x="16728152" y="1357512"/>
          <a:ext cx="1632285" cy="2106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High Tower Text" panose="02040502050506030303" pitchFamily="18" charset="0"/>
            </a:rPr>
            <a:t>TOTAL DOWNTIME</a:t>
          </a:r>
        </a:p>
      </xdr:txBody>
    </xdr:sp>
    <xdr:clientData/>
  </xdr:twoCellAnchor>
  <xdr:twoCellAnchor editAs="oneCell">
    <xdr:from>
      <xdr:col>20</xdr:col>
      <xdr:colOff>325313</xdr:colOff>
      <xdr:row>7</xdr:row>
      <xdr:rowOff>151895</xdr:rowOff>
    </xdr:from>
    <xdr:to>
      <xdr:col>21</xdr:col>
      <xdr:colOff>194684</xdr:colOff>
      <xdr:row>9</xdr:row>
      <xdr:rowOff>174948</xdr:rowOff>
    </xdr:to>
    <xdr:pic>
      <xdr:nvPicPr>
        <xdr:cNvPr id="16394" name="Graphic 16393" descr="Tools with solid fill">
          <a:extLst>
            <a:ext uri="{FF2B5EF4-FFF2-40B4-BE49-F238E27FC236}">
              <a16:creationId xmlns:a16="http://schemas.microsoft.com/office/drawing/2014/main" id="{BF83C50D-A249-4FFB-9920-87FFD0D6BE1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448040" y="1485395"/>
          <a:ext cx="475508" cy="404053"/>
        </a:xfrm>
        <a:prstGeom prst="rect">
          <a:avLst/>
        </a:prstGeom>
      </xdr:spPr>
    </xdr:pic>
    <xdr:clientData/>
  </xdr:twoCellAnchor>
  <xdr:twoCellAnchor editAs="oneCell">
    <xdr:from>
      <xdr:col>26</xdr:col>
      <xdr:colOff>510585</xdr:colOff>
      <xdr:row>6</xdr:row>
      <xdr:rowOff>185194</xdr:rowOff>
    </xdr:from>
    <xdr:to>
      <xdr:col>27</xdr:col>
      <xdr:colOff>517842</xdr:colOff>
      <xdr:row>10</xdr:row>
      <xdr:rowOff>76336</xdr:rowOff>
    </xdr:to>
    <xdr:pic>
      <xdr:nvPicPr>
        <xdr:cNvPr id="16398" name="Graphic 16397" descr="Stopwatch with solid fill">
          <a:extLst>
            <a:ext uri="{FF2B5EF4-FFF2-40B4-BE49-F238E27FC236}">
              <a16:creationId xmlns:a16="http://schemas.microsoft.com/office/drawing/2014/main" id="{0544DEF6-302E-41CE-877A-74AB1AAC95F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270130" y="1328194"/>
          <a:ext cx="613394" cy="653142"/>
        </a:xfrm>
        <a:prstGeom prst="rect">
          <a:avLst/>
        </a:prstGeom>
      </xdr:spPr>
    </xdr:pic>
    <xdr:clientData/>
  </xdr:twoCellAnchor>
  <xdr:twoCellAnchor>
    <xdr:from>
      <xdr:col>0</xdr:col>
      <xdr:colOff>264564</xdr:colOff>
      <xdr:row>10</xdr:row>
      <xdr:rowOff>152695</xdr:rowOff>
    </xdr:from>
    <xdr:to>
      <xdr:col>2</xdr:col>
      <xdr:colOff>404625</xdr:colOff>
      <xdr:row>12</xdr:row>
      <xdr:rowOff>5429</xdr:rowOff>
    </xdr:to>
    <xdr:sp macro="" textlink="">
      <xdr:nvSpPr>
        <xdr:cNvPr id="16399" name="Rectangle: Rounded Corners 16398">
          <a:extLst>
            <a:ext uri="{FF2B5EF4-FFF2-40B4-BE49-F238E27FC236}">
              <a16:creationId xmlns:a16="http://schemas.microsoft.com/office/drawing/2014/main" id="{8B6D55DE-3BC9-4BBE-8116-94C5C6BDE8F5}"/>
            </a:ext>
          </a:extLst>
        </xdr:cNvPr>
        <xdr:cNvSpPr/>
      </xdr:nvSpPr>
      <xdr:spPr>
        <a:xfrm>
          <a:off x="264564" y="2057695"/>
          <a:ext cx="1352334" cy="233734"/>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i="1">
              <a:latin typeface="Times New Roman" panose="02020603050405020304" pitchFamily="18" charset="0"/>
              <a:cs typeface="Times New Roman" panose="02020603050405020304" pitchFamily="18" charset="0"/>
            </a:rPr>
            <a:t>DEPARTMENTS</a:t>
          </a:r>
        </a:p>
      </xdr:txBody>
    </xdr:sp>
    <xdr:clientData/>
  </xdr:twoCellAnchor>
  <xdr:twoCellAnchor editAs="oneCell">
    <xdr:from>
      <xdr:col>2</xdr:col>
      <xdr:colOff>552797</xdr:colOff>
      <xdr:row>15</xdr:row>
      <xdr:rowOff>55418</xdr:rowOff>
    </xdr:from>
    <xdr:to>
      <xdr:col>3</xdr:col>
      <xdr:colOff>251461</xdr:colOff>
      <xdr:row>16</xdr:row>
      <xdr:rowOff>177338</xdr:rowOff>
    </xdr:to>
    <xdr:sp macro="" textlink="">
      <xdr:nvSpPr>
        <xdr:cNvPr id="16400" name="AutoShape 2" descr="Image result for Hospital Icon Black and White">
          <a:extLst>
            <a:ext uri="{FF2B5EF4-FFF2-40B4-BE49-F238E27FC236}">
              <a16:creationId xmlns:a16="http://schemas.microsoft.com/office/drawing/2014/main" id="{C167DAFB-1FBF-424C-9267-2C322E2F9691}"/>
            </a:ext>
          </a:extLst>
        </xdr:cNvPr>
        <xdr:cNvSpPr>
          <a:spLocks noChangeAspect="1" noChangeArrowheads="1"/>
        </xdr:cNvSpPr>
      </xdr:nvSpPr>
      <xdr:spPr bwMode="auto">
        <a:xfrm>
          <a:off x="1765070" y="2912918"/>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564406</xdr:colOff>
      <xdr:row>10</xdr:row>
      <xdr:rowOff>175105</xdr:rowOff>
    </xdr:from>
    <xdr:to>
      <xdr:col>10</xdr:col>
      <xdr:colOff>530068</xdr:colOff>
      <xdr:row>12</xdr:row>
      <xdr:rowOff>79231</xdr:rowOff>
    </xdr:to>
    <xdr:sp macro="" textlink="">
      <xdr:nvSpPr>
        <xdr:cNvPr id="16401" name="Rectangle: Rounded Corners 16400">
          <a:extLst>
            <a:ext uri="{FF2B5EF4-FFF2-40B4-BE49-F238E27FC236}">
              <a16:creationId xmlns:a16="http://schemas.microsoft.com/office/drawing/2014/main" id="{BF2134A1-E175-4640-BDE2-3B1B6F3D6839}"/>
            </a:ext>
          </a:extLst>
        </xdr:cNvPr>
        <xdr:cNvSpPr/>
      </xdr:nvSpPr>
      <xdr:spPr>
        <a:xfrm>
          <a:off x="1776679" y="2080105"/>
          <a:ext cx="4814753" cy="285126"/>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900" b="1" i="1" baseline="0">
              <a:solidFill>
                <a:schemeClr val="lt1"/>
              </a:solidFill>
              <a:effectLst/>
              <a:latin typeface="Times New Roman" panose="02020603050405020304" pitchFamily="18" charset="0"/>
              <a:ea typeface="+mn-ea"/>
              <a:cs typeface="Times New Roman" panose="02020603050405020304" pitchFamily="18" charset="0"/>
            </a:rPr>
            <a:t>EQUIPMENT UTILIZATION BY DEPARTMENT </a:t>
          </a:r>
          <a:endParaRPr lang="en-IN" sz="900" b="1" i="1">
            <a:effectLst/>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11</xdr:col>
      <xdr:colOff>3140</xdr:colOff>
      <xdr:row>10</xdr:row>
      <xdr:rowOff>177122</xdr:rowOff>
    </xdr:from>
    <xdr:to>
      <xdr:col>18</xdr:col>
      <xdr:colOff>578483</xdr:colOff>
      <xdr:row>12</xdr:row>
      <xdr:rowOff>115351</xdr:rowOff>
    </xdr:to>
    <xdr:sp macro="" textlink="">
      <xdr:nvSpPr>
        <xdr:cNvPr id="16405" name="Rectangle: Rounded Corners 16404">
          <a:extLst>
            <a:ext uri="{FF2B5EF4-FFF2-40B4-BE49-F238E27FC236}">
              <a16:creationId xmlns:a16="http://schemas.microsoft.com/office/drawing/2014/main" id="{DAFE2281-3059-464F-BB45-8D76BCD67EB5}"/>
            </a:ext>
          </a:extLst>
        </xdr:cNvPr>
        <xdr:cNvSpPr/>
      </xdr:nvSpPr>
      <xdr:spPr>
        <a:xfrm>
          <a:off x="6670640" y="2082122"/>
          <a:ext cx="4818298" cy="319229"/>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0" i="1" baseline="0">
              <a:solidFill>
                <a:schemeClr val="lt1"/>
              </a:solidFill>
              <a:effectLst/>
              <a:latin typeface="Times New Roman" panose="02020603050405020304" pitchFamily="18" charset="0"/>
              <a:ea typeface="+mn-ea"/>
              <a:cs typeface="Times New Roman" panose="02020603050405020304" pitchFamily="18" charset="0"/>
            </a:rPr>
            <a:t>DOWNTIME OPTIMIZATION</a:t>
          </a:r>
          <a:endParaRPr lang="en-IN" sz="900" b="0" i="1">
            <a:effectLst/>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2</xdr:col>
      <xdr:colOff>514426</xdr:colOff>
      <xdr:row>12</xdr:row>
      <xdr:rowOff>139370</xdr:rowOff>
    </xdr:from>
    <xdr:to>
      <xdr:col>10</xdr:col>
      <xdr:colOff>494348</xdr:colOff>
      <xdr:row>29</xdr:row>
      <xdr:rowOff>162577</xdr:rowOff>
    </xdr:to>
    <xdr:sp macro="" textlink="">
      <xdr:nvSpPr>
        <xdr:cNvPr id="16407" name="Rectangle: Rounded Corners 16406">
          <a:extLst>
            <a:ext uri="{FF2B5EF4-FFF2-40B4-BE49-F238E27FC236}">
              <a16:creationId xmlns:a16="http://schemas.microsoft.com/office/drawing/2014/main" id="{FB893F70-C3E3-4A8F-91FD-1BC53FFE8F1C}"/>
            </a:ext>
          </a:extLst>
        </xdr:cNvPr>
        <xdr:cNvSpPr/>
      </xdr:nvSpPr>
      <xdr:spPr>
        <a:xfrm rot="5400000">
          <a:off x="2510352" y="1641717"/>
          <a:ext cx="3261707" cy="482901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553604</xdr:colOff>
      <xdr:row>15</xdr:row>
      <xdr:rowOff>7260</xdr:rowOff>
    </xdr:from>
    <xdr:to>
      <xdr:col>10</xdr:col>
      <xdr:colOff>315755</xdr:colOff>
      <xdr:row>28</xdr:row>
      <xdr:rowOff>4362</xdr:rowOff>
    </xdr:to>
    <xdr:graphicFrame macro="">
      <xdr:nvGraphicFramePr>
        <xdr:cNvPr id="16408" name="Chart 16407">
          <a:extLst>
            <a:ext uri="{FF2B5EF4-FFF2-40B4-BE49-F238E27FC236}">
              <a16:creationId xmlns:a16="http://schemas.microsoft.com/office/drawing/2014/main" id="{50641382-3227-4C9F-920F-E5731E5D6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26403</xdr:colOff>
      <xdr:row>12</xdr:row>
      <xdr:rowOff>173617</xdr:rowOff>
    </xdr:from>
    <xdr:to>
      <xdr:col>19</xdr:col>
      <xdr:colOff>6325</xdr:colOff>
      <xdr:row>30</xdr:row>
      <xdr:rowOff>6324</xdr:rowOff>
    </xdr:to>
    <xdr:sp macro="" textlink="">
      <xdr:nvSpPr>
        <xdr:cNvPr id="16409" name="Rectangle: Rounded Corners 16408">
          <a:extLst>
            <a:ext uri="{FF2B5EF4-FFF2-40B4-BE49-F238E27FC236}">
              <a16:creationId xmlns:a16="http://schemas.microsoft.com/office/drawing/2014/main" id="{2376E32A-0D15-4459-8CAB-521955E0CDAD}"/>
            </a:ext>
          </a:extLst>
        </xdr:cNvPr>
        <xdr:cNvSpPr/>
      </xdr:nvSpPr>
      <xdr:spPr>
        <a:xfrm rot="5400000">
          <a:off x="7477556" y="1675964"/>
          <a:ext cx="3261707" cy="482901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430047</xdr:colOff>
      <xdr:row>32</xdr:row>
      <xdr:rowOff>100383</xdr:rowOff>
    </xdr:from>
    <xdr:to>
      <xdr:col>14</xdr:col>
      <xdr:colOff>219434</xdr:colOff>
      <xdr:row>68</xdr:row>
      <xdr:rowOff>101098</xdr:rowOff>
    </xdr:to>
    <xdr:sp macro="" textlink="">
      <xdr:nvSpPr>
        <xdr:cNvPr id="16410" name="Rectangle: Rounded Corners 16409">
          <a:extLst>
            <a:ext uri="{FF2B5EF4-FFF2-40B4-BE49-F238E27FC236}">
              <a16:creationId xmlns:a16="http://schemas.microsoft.com/office/drawing/2014/main" id="{8CA9012A-F10A-4528-9615-A89993507105}"/>
            </a:ext>
          </a:extLst>
        </xdr:cNvPr>
        <xdr:cNvSpPr/>
      </xdr:nvSpPr>
      <xdr:spPr>
        <a:xfrm rot="5400000">
          <a:off x="1744474" y="6094229"/>
          <a:ext cx="6858715" cy="7063023"/>
        </a:xfrm>
        <a:prstGeom prst="roundRect">
          <a:avLst>
            <a:gd name="adj" fmla="val 1134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19930</xdr:colOff>
      <xdr:row>34</xdr:row>
      <xdr:rowOff>13085</xdr:rowOff>
    </xdr:from>
    <xdr:to>
      <xdr:col>14</xdr:col>
      <xdr:colOff>70228</xdr:colOff>
      <xdr:row>67</xdr:row>
      <xdr:rowOff>1688</xdr:rowOff>
    </xdr:to>
    <xdr:graphicFrame macro="">
      <xdr:nvGraphicFramePr>
        <xdr:cNvPr id="16411" name="Chart 16410">
          <a:extLst>
            <a:ext uri="{FF2B5EF4-FFF2-40B4-BE49-F238E27FC236}">
              <a16:creationId xmlns:a16="http://schemas.microsoft.com/office/drawing/2014/main" id="{7D0CD7E3-7283-4813-8FF8-0B3B218D0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594621</xdr:colOff>
      <xdr:row>30</xdr:row>
      <xdr:rowOff>103852</xdr:rowOff>
    </xdr:from>
    <xdr:to>
      <xdr:col>14</xdr:col>
      <xdr:colOff>175261</xdr:colOff>
      <xdr:row>32</xdr:row>
      <xdr:rowOff>17318</xdr:rowOff>
    </xdr:to>
    <xdr:sp macro="" textlink="">
      <xdr:nvSpPr>
        <xdr:cNvPr id="16412" name="Rectangle: Rounded Corners 16411">
          <a:extLst>
            <a:ext uri="{FF2B5EF4-FFF2-40B4-BE49-F238E27FC236}">
              <a16:creationId xmlns:a16="http://schemas.microsoft.com/office/drawing/2014/main" id="{E69ACDE5-25CE-40BB-8F65-275EFA4AAC5A}"/>
            </a:ext>
          </a:extLst>
        </xdr:cNvPr>
        <xdr:cNvSpPr/>
      </xdr:nvSpPr>
      <xdr:spPr>
        <a:xfrm>
          <a:off x="1806894" y="5818852"/>
          <a:ext cx="6854276" cy="294466"/>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i="1">
              <a:latin typeface="Times New Roman" panose="02020603050405020304" pitchFamily="18" charset="0"/>
              <a:cs typeface="Times New Roman" panose="02020603050405020304" pitchFamily="18" charset="0"/>
            </a:rPr>
            <a:t>EQUIPMENTS</a:t>
          </a:r>
          <a:r>
            <a:rPr lang="en-IN" sz="1000" b="1" i="1" baseline="0">
              <a:latin typeface="Times New Roman" panose="02020603050405020304" pitchFamily="18" charset="0"/>
              <a:cs typeface="Times New Roman" panose="02020603050405020304" pitchFamily="18" charset="0"/>
            </a:rPr>
            <a:t> COMPARED WITH THE USAGE,DOWNTIME &amp; SCHEDULED HOURS</a:t>
          </a:r>
          <a:endParaRPr lang="en-IN" sz="1000" b="1" i="1">
            <a:latin typeface="Times New Roman" panose="02020603050405020304" pitchFamily="18" charset="0"/>
            <a:cs typeface="Times New Roman" panose="02020603050405020304" pitchFamily="18" charset="0"/>
          </a:endParaRPr>
        </a:p>
        <a:p>
          <a:pPr algn="ctr"/>
          <a:endParaRPr lang="en-IN" sz="1000" b="1" i="1">
            <a:latin typeface="Times New Roman" panose="02020603050405020304" pitchFamily="18" charset="0"/>
            <a:cs typeface="Times New Roman" panose="02020603050405020304" pitchFamily="18" charset="0"/>
          </a:endParaRPr>
        </a:p>
        <a:p>
          <a:pPr algn="ctr"/>
          <a:r>
            <a:rPr lang="en-IN" sz="1000" b="1" i="1">
              <a:latin typeface="Times New Roman" panose="02020603050405020304" pitchFamily="18" charset="0"/>
              <a:cs typeface="Times New Roman" panose="02020603050405020304" pitchFamily="18" charset="0"/>
            </a:rPr>
            <a:t>S</a:t>
          </a:r>
        </a:p>
      </xdr:txBody>
    </xdr:sp>
    <xdr:clientData/>
  </xdr:twoCellAnchor>
  <xdr:twoCellAnchor>
    <xdr:from>
      <xdr:col>11</xdr:col>
      <xdr:colOff>239509</xdr:colOff>
      <xdr:row>13</xdr:row>
      <xdr:rowOff>142414</xdr:rowOff>
    </xdr:from>
    <xdr:to>
      <xdr:col>18</xdr:col>
      <xdr:colOff>429261</xdr:colOff>
      <xdr:row>28</xdr:row>
      <xdr:rowOff>184726</xdr:rowOff>
    </xdr:to>
    <xdr:graphicFrame macro="">
      <xdr:nvGraphicFramePr>
        <xdr:cNvPr id="16415" name="Chart 16414">
          <a:extLst>
            <a:ext uri="{FF2B5EF4-FFF2-40B4-BE49-F238E27FC236}">
              <a16:creationId xmlns:a16="http://schemas.microsoft.com/office/drawing/2014/main" id="{C1FB3AD8-E7B5-41E6-9773-130B53551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251195</xdr:colOff>
      <xdr:row>22</xdr:row>
      <xdr:rowOff>168053</xdr:rowOff>
    </xdr:from>
    <xdr:to>
      <xdr:col>2</xdr:col>
      <xdr:colOff>391256</xdr:colOff>
      <xdr:row>24</xdr:row>
      <xdr:rowOff>20788</xdr:rowOff>
    </xdr:to>
    <xdr:sp macro="" textlink="">
      <xdr:nvSpPr>
        <xdr:cNvPr id="16416" name="Rectangle: Rounded Corners 16415">
          <a:extLst>
            <a:ext uri="{FF2B5EF4-FFF2-40B4-BE49-F238E27FC236}">
              <a16:creationId xmlns:a16="http://schemas.microsoft.com/office/drawing/2014/main" id="{707E9F80-C273-4043-9751-0AC0EF929C3D}"/>
            </a:ext>
          </a:extLst>
        </xdr:cNvPr>
        <xdr:cNvSpPr/>
      </xdr:nvSpPr>
      <xdr:spPr>
        <a:xfrm>
          <a:off x="251195" y="4359053"/>
          <a:ext cx="1352334" cy="233735"/>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i="1">
              <a:latin typeface="Times New Roman" panose="02020603050405020304" pitchFamily="18" charset="0"/>
              <a:cs typeface="Times New Roman" panose="02020603050405020304" pitchFamily="18" charset="0"/>
            </a:rPr>
            <a:t>EQUIPMENTS</a:t>
          </a:r>
        </a:p>
      </xdr:txBody>
    </xdr:sp>
    <xdr:clientData/>
  </xdr:twoCellAnchor>
  <xdr:twoCellAnchor editAs="oneCell">
    <xdr:from>
      <xdr:col>0</xdr:col>
      <xdr:colOff>248787</xdr:colOff>
      <xdr:row>24</xdr:row>
      <xdr:rowOff>71460</xdr:rowOff>
    </xdr:from>
    <xdr:to>
      <xdr:col>2</xdr:col>
      <xdr:colOff>377124</xdr:colOff>
      <xdr:row>44</xdr:row>
      <xdr:rowOff>25340</xdr:rowOff>
    </xdr:to>
    <mc:AlternateContent xmlns:mc="http://schemas.openxmlformats.org/markup-compatibility/2006" xmlns:a14="http://schemas.microsoft.com/office/drawing/2010/main">
      <mc:Choice Requires="a14">
        <xdr:graphicFrame macro="">
          <xdr:nvGraphicFramePr>
            <xdr:cNvPr id="16418" name="Equipment_Name 4">
              <a:extLst>
                <a:ext uri="{FF2B5EF4-FFF2-40B4-BE49-F238E27FC236}">
                  <a16:creationId xmlns:a16="http://schemas.microsoft.com/office/drawing/2014/main" id="{BD4B18C7-F9E6-4D03-8525-DDFF7A99931F}"/>
                </a:ext>
              </a:extLst>
            </xdr:cNvPr>
            <xdr:cNvGraphicFramePr/>
          </xdr:nvGraphicFramePr>
          <xdr:xfrm>
            <a:off x="0" y="0"/>
            <a:ext cx="0" cy="0"/>
          </xdr:xfrm>
          <a:graphic>
            <a:graphicData uri="http://schemas.microsoft.com/office/drawing/2010/slicer">
              <sle:slicer xmlns:sle="http://schemas.microsoft.com/office/drawing/2010/slicer" name="Equipment_Name 4"/>
            </a:graphicData>
          </a:graphic>
        </xdr:graphicFrame>
      </mc:Choice>
      <mc:Fallback xmlns="">
        <xdr:sp macro="" textlink="">
          <xdr:nvSpPr>
            <xdr:cNvPr id="0" name=""/>
            <xdr:cNvSpPr>
              <a:spLocks noTextEdit="1"/>
            </xdr:cNvSpPr>
          </xdr:nvSpPr>
          <xdr:spPr>
            <a:xfrm>
              <a:off x="248787" y="4563249"/>
              <a:ext cx="1358232" cy="3697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251461</xdr:colOff>
      <xdr:row>11</xdr:row>
      <xdr:rowOff>42558</xdr:rowOff>
    </xdr:from>
    <xdr:to>
      <xdr:col>30</xdr:col>
      <xdr:colOff>212752</xdr:colOff>
      <xdr:row>12</xdr:row>
      <xdr:rowOff>131617</xdr:rowOff>
    </xdr:to>
    <xdr:sp macro="" textlink="">
      <xdr:nvSpPr>
        <xdr:cNvPr id="16419" name="Rectangle: Rounded Corners 16418">
          <a:extLst>
            <a:ext uri="{FF2B5EF4-FFF2-40B4-BE49-F238E27FC236}">
              <a16:creationId xmlns:a16="http://schemas.microsoft.com/office/drawing/2014/main" id="{393F6FD0-7AC7-4FA8-B113-DC0ABA54794C}"/>
            </a:ext>
          </a:extLst>
        </xdr:cNvPr>
        <xdr:cNvSpPr/>
      </xdr:nvSpPr>
      <xdr:spPr>
        <a:xfrm>
          <a:off x="11768052" y="2138058"/>
          <a:ext cx="6628791" cy="279559"/>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i="1" baseline="0">
              <a:latin typeface="Times New Roman" panose="02020603050405020304" pitchFamily="18" charset="0"/>
              <a:cs typeface="Times New Roman" panose="02020603050405020304" pitchFamily="18" charset="0"/>
            </a:rPr>
            <a:t>         OPERATIONAL EFFICIENCY</a:t>
          </a:r>
        </a:p>
        <a:p>
          <a:pPr algn="l"/>
          <a:endParaRPr lang="en-IN" sz="900" b="1" i="1" baseline="0">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0</xdr:col>
      <xdr:colOff>249517</xdr:colOff>
      <xdr:row>41</xdr:row>
      <xdr:rowOff>186737</xdr:rowOff>
    </xdr:from>
    <xdr:to>
      <xdr:col>2</xdr:col>
      <xdr:colOff>389578</xdr:colOff>
      <xdr:row>43</xdr:row>
      <xdr:rowOff>91081</xdr:rowOff>
    </xdr:to>
    <xdr:sp macro="" textlink="">
      <xdr:nvSpPr>
        <xdr:cNvPr id="16420" name="Rectangle: Rounded Corners 16419">
          <a:extLst>
            <a:ext uri="{FF2B5EF4-FFF2-40B4-BE49-F238E27FC236}">
              <a16:creationId xmlns:a16="http://schemas.microsoft.com/office/drawing/2014/main" id="{F83A50D2-F640-45F3-9A50-8711D2C8182E}"/>
            </a:ext>
          </a:extLst>
        </xdr:cNvPr>
        <xdr:cNvSpPr/>
      </xdr:nvSpPr>
      <xdr:spPr>
        <a:xfrm>
          <a:off x="249517" y="7997237"/>
          <a:ext cx="1352334" cy="285344"/>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i="1">
              <a:latin typeface="Times New Roman" panose="02020603050405020304" pitchFamily="18" charset="0"/>
              <a:cs typeface="Times New Roman" panose="02020603050405020304" pitchFamily="18" charset="0"/>
            </a:rPr>
            <a:t>STATUS</a:t>
          </a:r>
        </a:p>
      </xdr:txBody>
    </xdr:sp>
    <xdr:clientData/>
  </xdr:twoCellAnchor>
  <xdr:twoCellAnchor editAs="oneCell">
    <xdr:from>
      <xdr:col>0</xdr:col>
      <xdr:colOff>263331</xdr:colOff>
      <xdr:row>43</xdr:row>
      <xdr:rowOff>31249</xdr:rowOff>
    </xdr:from>
    <xdr:to>
      <xdr:col>2</xdr:col>
      <xdr:colOff>369995</xdr:colOff>
      <xdr:row>48</xdr:row>
      <xdr:rowOff>76697</xdr:rowOff>
    </xdr:to>
    <mc:AlternateContent xmlns:mc="http://schemas.openxmlformats.org/markup-compatibility/2006" xmlns:a14="http://schemas.microsoft.com/office/drawing/2010/main">
      <mc:Choice Requires="a14">
        <xdr:graphicFrame macro="">
          <xdr:nvGraphicFramePr>
            <xdr:cNvPr id="16425" name="Status 2">
              <a:extLst>
                <a:ext uri="{FF2B5EF4-FFF2-40B4-BE49-F238E27FC236}">
                  <a16:creationId xmlns:a16="http://schemas.microsoft.com/office/drawing/2014/main" id="{38E54940-726B-4FB8-A56C-7C1267FEB580}"/>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263331" y="8079038"/>
              <a:ext cx="1336559" cy="98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178265</xdr:colOff>
      <xdr:row>12</xdr:row>
      <xdr:rowOff>188095</xdr:rowOff>
    </xdr:from>
    <xdr:to>
      <xdr:col>30</xdr:col>
      <xdr:colOff>342527</xdr:colOff>
      <xdr:row>39</xdr:row>
      <xdr:rowOff>69799</xdr:rowOff>
    </xdr:to>
    <xdr:sp macro="" textlink="">
      <xdr:nvSpPr>
        <xdr:cNvPr id="16427" name="Rectangle: Rounded Corners 16426">
          <a:extLst>
            <a:ext uri="{FF2B5EF4-FFF2-40B4-BE49-F238E27FC236}">
              <a16:creationId xmlns:a16="http://schemas.microsoft.com/office/drawing/2014/main" id="{7D4A790A-2A8E-4171-AC78-6CBA3CE80AE2}"/>
            </a:ext>
          </a:extLst>
        </xdr:cNvPr>
        <xdr:cNvSpPr/>
      </xdr:nvSpPr>
      <xdr:spPr>
        <a:xfrm rot="5400000">
          <a:off x="12598135" y="1570816"/>
          <a:ext cx="5025204" cy="6831762"/>
        </a:xfrm>
        <a:prstGeom prst="roundRect">
          <a:avLst>
            <a:gd name="adj" fmla="val 1134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331397</xdr:colOff>
      <xdr:row>32</xdr:row>
      <xdr:rowOff>90877</xdr:rowOff>
    </xdr:from>
    <xdr:to>
      <xdr:col>19</xdr:col>
      <xdr:colOff>90995</xdr:colOff>
      <xdr:row>67</xdr:row>
      <xdr:rowOff>6240</xdr:rowOff>
    </xdr:to>
    <xdr:sp macro="" textlink="">
      <xdr:nvSpPr>
        <xdr:cNvPr id="16428" name="Rectangle: Rounded Corners 16427">
          <a:extLst>
            <a:ext uri="{FF2B5EF4-FFF2-40B4-BE49-F238E27FC236}">
              <a16:creationId xmlns:a16="http://schemas.microsoft.com/office/drawing/2014/main" id="{A0165E52-7146-4B06-892C-F3ED08784E7E}"/>
            </a:ext>
          </a:extLst>
        </xdr:cNvPr>
        <xdr:cNvSpPr/>
      </xdr:nvSpPr>
      <xdr:spPr>
        <a:xfrm rot="5400000">
          <a:off x="6921014" y="8083169"/>
          <a:ext cx="6582863" cy="2790280"/>
        </a:xfrm>
        <a:prstGeom prst="roundRect">
          <a:avLst>
            <a:gd name="adj" fmla="val 11344"/>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518321</xdr:colOff>
      <xdr:row>32</xdr:row>
      <xdr:rowOff>186777</xdr:rowOff>
    </xdr:from>
    <xdr:to>
      <xdr:col>18</xdr:col>
      <xdr:colOff>522394</xdr:colOff>
      <xdr:row>66</xdr:row>
      <xdr:rowOff>10060</xdr:rowOff>
    </xdr:to>
    <xdr:graphicFrame macro="">
      <xdr:nvGraphicFramePr>
        <xdr:cNvPr id="16429" name="Chart 16428">
          <a:extLst>
            <a:ext uri="{FF2B5EF4-FFF2-40B4-BE49-F238E27FC236}">
              <a16:creationId xmlns:a16="http://schemas.microsoft.com/office/drawing/2014/main" id="{199AB62C-C523-4AA9-83EF-9FE53EEA8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369480</xdr:colOff>
      <xdr:row>30</xdr:row>
      <xdr:rowOff>92601</xdr:rowOff>
    </xdr:from>
    <xdr:to>
      <xdr:col>19</xdr:col>
      <xdr:colOff>39967</xdr:colOff>
      <xdr:row>32</xdr:row>
      <xdr:rowOff>3769</xdr:rowOff>
    </xdr:to>
    <xdr:sp macro="" textlink="">
      <xdr:nvSpPr>
        <xdr:cNvPr id="16430" name="Rectangle: Rounded Corners 16429">
          <a:extLst>
            <a:ext uri="{FF2B5EF4-FFF2-40B4-BE49-F238E27FC236}">
              <a16:creationId xmlns:a16="http://schemas.microsoft.com/office/drawing/2014/main" id="{EB97154E-2408-4171-8EE5-0F8C709D4CED}"/>
            </a:ext>
          </a:extLst>
        </xdr:cNvPr>
        <xdr:cNvSpPr/>
      </xdr:nvSpPr>
      <xdr:spPr>
        <a:xfrm>
          <a:off x="8855389" y="5807601"/>
          <a:ext cx="2701169" cy="292168"/>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i="1" baseline="0">
              <a:latin typeface="Times New Roman" panose="02020603050405020304" pitchFamily="18" charset="0"/>
              <a:cs typeface="Times New Roman" panose="02020603050405020304" pitchFamily="18" charset="0"/>
            </a:rPr>
            <a:t>EFFICIENCY GAP BETWEEN DEPARTMENTS</a:t>
          </a: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0</xdr:col>
      <xdr:colOff>246612</xdr:colOff>
      <xdr:row>48</xdr:row>
      <xdr:rowOff>31975</xdr:rowOff>
    </xdr:from>
    <xdr:to>
      <xdr:col>2</xdr:col>
      <xdr:colOff>386673</xdr:colOff>
      <xdr:row>49</xdr:row>
      <xdr:rowOff>79101</xdr:rowOff>
    </xdr:to>
    <xdr:sp macro="" textlink="">
      <xdr:nvSpPr>
        <xdr:cNvPr id="16432" name="Rectangle: Rounded Corners 16431">
          <a:extLst>
            <a:ext uri="{FF2B5EF4-FFF2-40B4-BE49-F238E27FC236}">
              <a16:creationId xmlns:a16="http://schemas.microsoft.com/office/drawing/2014/main" id="{8377B1A6-4675-4AB8-B3EF-672003FC888D}"/>
            </a:ext>
          </a:extLst>
        </xdr:cNvPr>
        <xdr:cNvSpPr/>
      </xdr:nvSpPr>
      <xdr:spPr>
        <a:xfrm>
          <a:off x="246612" y="9175975"/>
          <a:ext cx="1352334" cy="237626"/>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i="1">
              <a:latin typeface="Times New Roman" panose="02020603050405020304" pitchFamily="18" charset="0"/>
              <a:cs typeface="Times New Roman" panose="02020603050405020304" pitchFamily="18" charset="0"/>
            </a:rPr>
            <a:t>MAINTANACE</a:t>
          </a:r>
          <a:r>
            <a:rPr lang="en-IN" sz="900" b="1" i="1" baseline="0">
              <a:latin typeface="Times New Roman" panose="02020603050405020304" pitchFamily="18" charset="0"/>
              <a:cs typeface="Times New Roman" panose="02020603050405020304" pitchFamily="18" charset="0"/>
            </a:rPr>
            <a:t> TYPE</a:t>
          </a:r>
          <a:endParaRPr lang="en-IN" sz="900" b="1" i="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246133</xdr:colOff>
      <xdr:row>49</xdr:row>
      <xdr:rowOff>179776</xdr:rowOff>
    </xdr:from>
    <xdr:to>
      <xdr:col>2</xdr:col>
      <xdr:colOff>310670</xdr:colOff>
      <xdr:row>55</xdr:row>
      <xdr:rowOff>10704</xdr:rowOff>
    </xdr:to>
    <mc:AlternateContent xmlns:mc="http://schemas.openxmlformats.org/markup-compatibility/2006" xmlns:a14="http://schemas.microsoft.com/office/drawing/2010/main">
      <mc:Choice Requires="a14">
        <xdr:graphicFrame macro="">
          <xdr:nvGraphicFramePr>
            <xdr:cNvPr id="16433" name="Maintenance_Type 2">
              <a:extLst>
                <a:ext uri="{FF2B5EF4-FFF2-40B4-BE49-F238E27FC236}">
                  <a16:creationId xmlns:a16="http://schemas.microsoft.com/office/drawing/2014/main" id="{354212CE-F556-4A06-8163-C5DFF59C4476}"/>
                </a:ext>
              </a:extLst>
            </xdr:cNvPr>
            <xdr:cNvGraphicFramePr/>
          </xdr:nvGraphicFramePr>
          <xdr:xfrm>
            <a:off x="0" y="0"/>
            <a:ext cx="0" cy="0"/>
          </xdr:xfrm>
          <a:graphic>
            <a:graphicData uri="http://schemas.microsoft.com/office/drawing/2010/slicer">
              <sle:slicer xmlns:sle="http://schemas.microsoft.com/office/drawing/2010/slicer" name="Maintenance_Type 2"/>
            </a:graphicData>
          </a:graphic>
        </xdr:graphicFrame>
      </mc:Choice>
      <mc:Fallback xmlns="">
        <xdr:sp macro="" textlink="">
          <xdr:nvSpPr>
            <xdr:cNvPr id="0" name=""/>
            <xdr:cNvSpPr>
              <a:spLocks noTextEdit="1"/>
            </xdr:cNvSpPr>
          </xdr:nvSpPr>
          <xdr:spPr>
            <a:xfrm>
              <a:off x="246133" y="9350513"/>
              <a:ext cx="1294432" cy="953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224214</xdr:colOff>
      <xdr:row>40</xdr:row>
      <xdr:rowOff>95358</xdr:rowOff>
    </xdr:from>
    <xdr:to>
      <xdr:col>30</xdr:col>
      <xdr:colOff>280872</xdr:colOff>
      <xdr:row>42</xdr:row>
      <xdr:rowOff>11458</xdr:rowOff>
    </xdr:to>
    <xdr:sp macro="" textlink="">
      <xdr:nvSpPr>
        <xdr:cNvPr id="16434" name="Rectangle: Rounded Corners 16433">
          <a:extLst>
            <a:ext uri="{FF2B5EF4-FFF2-40B4-BE49-F238E27FC236}">
              <a16:creationId xmlns:a16="http://schemas.microsoft.com/office/drawing/2014/main" id="{DD5D730D-BF77-41E1-9E85-6974E90C7C3F}"/>
            </a:ext>
          </a:extLst>
        </xdr:cNvPr>
        <xdr:cNvSpPr/>
      </xdr:nvSpPr>
      <xdr:spPr>
        <a:xfrm>
          <a:off x="11740805" y="7715358"/>
          <a:ext cx="6724158" cy="297100"/>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i="1" baseline="0">
              <a:latin typeface="Times New Roman" panose="02020603050405020304" pitchFamily="18" charset="0"/>
              <a:cs typeface="Times New Roman" panose="02020603050405020304" pitchFamily="18" charset="0"/>
            </a:rPr>
            <a:t>EQUIPMENT MAINTANACE STATUS SUMMARY</a:t>
          </a:r>
        </a:p>
        <a:p>
          <a:pPr algn="l"/>
          <a:endParaRPr lang="en-IN" sz="900" b="1" i="1" baseline="0">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19</xdr:col>
      <xdr:colOff>226276</xdr:colOff>
      <xdr:row>42</xdr:row>
      <xdr:rowOff>100857</xdr:rowOff>
    </xdr:from>
    <xdr:to>
      <xdr:col>30</xdr:col>
      <xdr:colOff>322261</xdr:colOff>
      <xdr:row>68</xdr:row>
      <xdr:rowOff>20782</xdr:rowOff>
    </xdr:to>
    <xdr:sp macro="" textlink="">
      <xdr:nvSpPr>
        <xdr:cNvPr id="16435" name="Rectangle: Rounded Corners 16434">
          <a:extLst>
            <a:ext uri="{FF2B5EF4-FFF2-40B4-BE49-F238E27FC236}">
              <a16:creationId xmlns:a16="http://schemas.microsoft.com/office/drawing/2014/main" id="{7F993F4E-F830-488B-8A79-3EA207D55E2F}"/>
            </a:ext>
          </a:extLst>
        </xdr:cNvPr>
        <xdr:cNvSpPr/>
      </xdr:nvSpPr>
      <xdr:spPr>
        <a:xfrm rot="5400000">
          <a:off x="12688147" y="7156577"/>
          <a:ext cx="4872925" cy="6763485"/>
        </a:xfrm>
        <a:prstGeom prst="roundRect">
          <a:avLst>
            <a:gd name="adj" fmla="val 11344"/>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331376</xdr:colOff>
      <xdr:row>44</xdr:row>
      <xdr:rowOff>98080</xdr:rowOff>
    </xdr:from>
    <xdr:to>
      <xdr:col>30</xdr:col>
      <xdr:colOff>157277</xdr:colOff>
      <xdr:row>65</xdr:row>
      <xdr:rowOff>63443</xdr:rowOff>
    </xdr:to>
    <xdr:graphicFrame macro="">
      <xdr:nvGraphicFramePr>
        <xdr:cNvPr id="16436" name="Chart 16435">
          <a:extLst>
            <a:ext uri="{FF2B5EF4-FFF2-40B4-BE49-F238E27FC236}">
              <a16:creationId xmlns:a16="http://schemas.microsoft.com/office/drawing/2014/main" id="{0246A2EA-D386-4B9C-BEB0-1B967028F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358142</xdr:colOff>
      <xdr:row>6</xdr:row>
      <xdr:rowOff>172098</xdr:rowOff>
    </xdr:from>
    <xdr:to>
      <xdr:col>36</xdr:col>
      <xdr:colOff>510542</xdr:colOff>
      <xdr:row>9</xdr:row>
      <xdr:rowOff>70658</xdr:rowOff>
    </xdr:to>
    <xdr:sp macro="" textlink="">
      <xdr:nvSpPr>
        <xdr:cNvPr id="16437" name="Rectangle: Rounded Corners 16436">
          <a:extLst>
            <a:ext uri="{FF2B5EF4-FFF2-40B4-BE49-F238E27FC236}">
              <a16:creationId xmlns:a16="http://schemas.microsoft.com/office/drawing/2014/main" id="{82D2976F-B328-4D98-9A56-A2659A5B2FC8}"/>
            </a:ext>
          </a:extLst>
        </xdr:cNvPr>
        <xdr:cNvSpPr/>
      </xdr:nvSpPr>
      <xdr:spPr>
        <a:xfrm>
          <a:off x="18542233" y="1315098"/>
          <a:ext cx="3789218" cy="470060"/>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1" baseline="0">
              <a:latin typeface="Times New Roman" panose="02020603050405020304" pitchFamily="18" charset="0"/>
              <a:cs typeface="Times New Roman" panose="02020603050405020304" pitchFamily="18" charset="0"/>
            </a:rPr>
            <a:t> KEY INSIGHTS</a:t>
          </a:r>
        </a:p>
        <a:p>
          <a:pPr algn="l"/>
          <a:endParaRPr lang="en-IN" sz="900" b="1" i="1" baseline="0">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30</xdr:col>
      <xdr:colOff>408480</xdr:colOff>
      <xdr:row>9</xdr:row>
      <xdr:rowOff>158075</xdr:rowOff>
    </xdr:from>
    <xdr:to>
      <xdr:col>36</xdr:col>
      <xdr:colOff>598980</xdr:colOff>
      <xdr:row>32</xdr:row>
      <xdr:rowOff>5722</xdr:rowOff>
    </xdr:to>
    <xdr:sp macro="" textlink="">
      <xdr:nvSpPr>
        <xdr:cNvPr id="16438" name="Rectangle: Rounded Corners 16437">
          <a:extLst>
            <a:ext uri="{FF2B5EF4-FFF2-40B4-BE49-F238E27FC236}">
              <a16:creationId xmlns:a16="http://schemas.microsoft.com/office/drawing/2014/main" id="{486FF9CE-82AD-4C59-AEB0-5DF083170ECD}"/>
            </a:ext>
          </a:extLst>
        </xdr:cNvPr>
        <xdr:cNvSpPr/>
      </xdr:nvSpPr>
      <xdr:spPr>
        <a:xfrm>
          <a:off x="18592571" y="1872575"/>
          <a:ext cx="3827318" cy="4229147"/>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495824</xdr:colOff>
      <xdr:row>35</xdr:row>
      <xdr:rowOff>129964</xdr:rowOff>
    </xdr:from>
    <xdr:to>
      <xdr:col>37</xdr:col>
      <xdr:colOff>80188</xdr:colOff>
      <xdr:row>62</xdr:row>
      <xdr:rowOff>61943</xdr:rowOff>
    </xdr:to>
    <xdr:sp macro="" textlink="">
      <xdr:nvSpPr>
        <xdr:cNvPr id="16439" name="Rectangle: Rounded Corners 16438">
          <a:extLst>
            <a:ext uri="{FF2B5EF4-FFF2-40B4-BE49-F238E27FC236}">
              <a16:creationId xmlns:a16="http://schemas.microsoft.com/office/drawing/2014/main" id="{2DE3E78B-D155-4E00-B140-A6FF0319C71C}"/>
            </a:ext>
          </a:extLst>
        </xdr:cNvPr>
        <xdr:cNvSpPr/>
      </xdr:nvSpPr>
      <xdr:spPr>
        <a:xfrm>
          <a:off x="18679915" y="6797464"/>
          <a:ext cx="3827318" cy="5075479"/>
        </a:xfrm>
        <a:prstGeom prst="round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450506</xdr:colOff>
      <xdr:row>32</xdr:row>
      <xdr:rowOff>154019</xdr:rowOff>
    </xdr:from>
    <xdr:to>
      <xdr:col>36</xdr:col>
      <xdr:colOff>597133</xdr:colOff>
      <xdr:row>34</xdr:row>
      <xdr:rowOff>187940</xdr:rowOff>
    </xdr:to>
    <xdr:sp macro="" textlink="">
      <xdr:nvSpPr>
        <xdr:cNvPr id="16440" name="Rectangle: Rounded Corners 16439">
          <a:extLst>
            <a:ext uri="{FF2B5EF4-FFF2-40B4-BE49-F238E27FC236}">
              <a16:creationId xmlns:a16="http://schemas.microsoft.com/office/drawing/2014/main" id="{10130E94-BAAD-4353-9B6F-46C4919B4652}"/>
            </a:ext>
          </a:extLst>
        </xdr:cNvPr>
        <xdr:cNvSpPr/>
      </xdr:nvSpPr>
      <xdr:spPr>
        <a:xfrm>
          <a:off x="18634597" y="6250019"/>
          <a:ext cx="3783445" cy="414921"/>
        </a:xfrm>
        <a:prstGeom prst="roundRect">
          <a:avLst/>
        </a:prstGeom>
        <a:solidFill>
          <a:srgbClr val="0070C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1" baseline="0">
              <a:latin typeface="Times New Roman" panose="02020603050405020304" pitchFamily="18" charset="0"/>
              <a:cs typeface="Times New Roman" panose="02020603050405020304" pitchFamily="18" charset="0"/>
            </a:rPr>
            <a:t>RECOMMENDATION</a:t>
          </a:r>
        </a:p>
        <a:p>
          <a:pPr algn="ctr"/>
          <a:r>
            <a:rPr lang="en-IN" sz="2000" b="1" i="1" baseline="0">
              <a:latin typeface="Times New Roman" panose="02020603050405020304" pitchFamily="18" charset="0"/>
              <a:cs typeface="Times New Roman" panose="02020603050405020304" pitchFamily="18" charset="0"/>
            </a:rPr>
            <a:t>IONS</a:t>
          </a:r>
          <a:endParaRPr lang="en-IN" sz="900" b="1" i="1" baseline="0">
            <a:latin typeface="Times New Roman" panose="02020603050405020304" pitchFamily="18" charset="0"/>
            <a:cs typeface="Times New Roman" panose="02020603050405020304" pitchFamily="18" charset="0"/>
          </a:endParaRPr>
        </a:p>
        <a:p>
          <a:pPr algn="l"/>
          <a:endParaRPr lang="en-IN" sz="900" b="1" i="1">
            <a:latin typeface="Times New Roman" panose="02020603050405020304" pitchFamily="18" charset="0"/>
            <a:cs typeface="Times New Roman" panose="02020603050405020304" pitchFamily="18" charset="0"/>
          </a:endParaRPr>
        </a:p>
      </xdr:txBody>
    </xdr:sp>
    <xdr:clientData/>
  </xdr:twoCellAnchor>
  <xdr:twoCellAnchor>
    <xdr:from>
      <xdr:col>31</xdr:col>
      <xdr:colOff>29487</xdr:colOff>
      <xdr:row>11</xdr:row>
      <xdr:rowOff>138245</xdr:rowOff>
    </xdr:from>
    <xdr:to>
      <xdr:col>36</xdr:col>
      <xdr:colOff>427052</xdr:colOff>
      <xdr:row>30</xdr:row>
      <xdr:rowOff>88548</xdr:rowOff>
    </xdr:to>
    <xdr:sp macro="" textlink="">
      <xdr:nvSpPr>
        <xdr:cNvPr id="16441" name="TextBox 16440">
          <a:extLst>
            <a:ext uri="{FF2B5EF4-FFF2-40B4-BE49-F238E27FC236}">
              <a16:creationId xmlns:a16="http://schemas.microsoft.com/office/drawing/2014/main" id="{9ED80157-9A95-47B6-9EE5-C02D1009553D}"/>
            </a:ext>
          </a:extLst>
        </xdr:cNvPr>
        <xdr:cNvSpPr txBox="1"/>
      </xdr:nvSpPr>
      <xdr:spPr>
        <a:xfrm>
          <a:off x="18819714" y="2233745"/>
          <a:ext cx="3428247" cy="3569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a:latin typeface="Times New Roman" panose="02020603050405020304" pitchFamily="18" charset="0"/>
            <a:cs typeface="Times New Roman" panose="02020603050405020304" pitchFamily="18" charset="0"/>
          </a:endParaRPr>
        </a:p>
        <a:p>
          <a:r>
            <a:rPr lang="en-IN" sz="1400">
              <a:latin typeface="Times New Roman" panose="02020603050405020304" pitchFamily="18" charset="0"/>
              <a:cs typeface="Times New Roman" panose="02020603050405020304" pitchFamily="18" charset="0"/>
            </a:rPr>
            <a:t>1</a:t>
          </a:r>
          <a:r>
            <a:rPr lang="en-IN" sz="1400" b="1">
              <a:solidFill>
                <a:srgbClr val="0070C0"/>
              </a:solidFill>
              <a:latin typeface="Times New Roman" panose="02020603050405020304" pitchFamily="18" charset="0"/>
              <a:cs typeface="Times New Roman" panose="02020603050405020304" pitchFamily="18" charset="0"/>
            </a:rPr>
            <a:t>.</a:t>
          </a:r>
          <a:r>
            <a:rPr lang="en-IN" sz="1400" b="1" baseline="0">
              <a:solidFill>
                <a:srgbClr val="0070C0"/>
              </a:solidFill>
              <a:latin typeface="Times New Roman" panose="02020603050405020304" pitchFamily="18" charset="0"/>
              <a:cs typeface="Times New Roman" panose="02020603050405020304" pitchFamily="18" charset="0"/>
            </a:rPr>
            <a:t> </a:t>
          </a:r>
          <a:r>
            <a:rPr lang="en-IN" sz="1400" b="1">
              <a:solidFill>
                <a:srgbClr val="0070C0"/>
              </a:solidFill>
              <a:effectLst/>
              <a:latin typeface="Times New Roman" panose="02020603050405020304" pitchFamily="18" charset="0"/>
              <a:ea typeface="+mn-ea"/>
              <a:cs typeface="Times New Roman" panose="02020603050405020304" pitchFamily="18" charset="0"/>
            </a:rPr>
            <a:t>MRI Scanner utilization remained low, showing underutilization of resources</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2.</a:t>
          </a:r>
          <a:r>
            <a:rPr lang="en-IN" sz="1400" b="1" baseline="0">
              <a:solidFill>
                <a:srgbClr val="0070C0"/>
              </a:solidFill>
              <a:latin typeface="Times New Roman" panose="02020603050405020304" pitchFamily="18" charset="0"/>
              <a:cs typeface="Times New Roman" panose="02020603050405020304" pitchFamily="18" charset="0"/>
            </a:rPr>
            <a:t> </a:t>
          </a:r>
          <a:r>
            <a:rPr lang="en-IN" sz="1400" b="1">
              <a:solidFill>
                <a:srgbClr val="0070C0"/>
              </a:solidFill>
              <a:latin typeface="Times New Roman" panose="02020603050405020304" pitchFamily="18" charset="0"/>
              <a:cs typeface="Times New Roman" panose="02020603050405020304" pitchFamily="18" charset="0"/>
            </a:rPr>
            <a:t>ICU equipment recorded the highest downtime among all departments.</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3.Ventilator utilization exceeded 93%, indicating possible operational overload.</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4.More than 60% of downtime was caused by unscheduled maintenance.</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5.Dialysis machines showed the highest maintenance dependency overall</a:t>
          </a:r>
        </a:p>
        <a:p>
          <a:endParaRPr lang="en-IN" sz="1100">
            <a:solidFill>
              <a:sysClr val="windowText" lastClr="000000"/>
            </a:solidFill>
          </a:endParaRPr>
        </a:p>
      </xdr:txBody>
    </xdr:sp>
    <xdr:clientData/>
  </xdr:twoCellAnchor>
  <xdr:twoCellAnchor>
    <xdr:from>
      <xdr:col>31</xdr:col>
      <xdr:colOff>170292</xdr:colOff>
      <xdr:row>39</xdr:row>
      <xdr:rowOff>88549</xdr:rowOff>
    </xdr:from>
    <xdr:to>
      <xdr:col>36</xdr:col>
      <xdr:colOff>501595</xdr:colOff>
      <xdr:row>58</xdr:row>
      <xdr:rowOff>71983</xdr:rowOff>
    </xdr:to>
    <xdr:sp macro="" textlink="">
      <xdr:nvSpPr>
        <xdr:cNvPr id="16442" name="TextBox 16441">
          <a:extLst>
            <a:ext uri="{FF2B5EF4-FFF2-40B4-BE49-F238E27FC236}">
              <a16:creationId xmlns:a16="http://schemas.microsoft.com/office/drawing/2014/main" id="{67D8FCDD-AD80-43C1-8CA9-67D55BEB0349}"/>
            </a:ext>
          </a:extLst>
        </xdr:cNvPr>
        <xdr:cNvSpPr txBox="1"/>
      </xdr:nvSpPr>
      <xdr:spPr>
        <a:xfrm>
          <a:off x="18960519" y="7518049"/>
          <a:ext cx="3361985" cy="3602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70C0"/>
              </a:solidFill>
              <a:latin typeface="Times New Roman" panose="02020603050405020304" pitchFamily="18" charset="0"/>
              <a:cs typeface="Times New Roman" panose="02020603050405020304" pitchFamily="18" charset="0"/>
            </a:rPr>
            <a:t>1.</a:t>
          </a:r>
          <a:r>
            <a:rPr lang="en-IN" sz="1400" b="1" baseline="0">
              <a:solidFill>
                <a:srgbClr val="0070C0"/>
              </a:solidFill>
              <a:latin typeface="Times New Roman" panose="02020603050405020304" pitchFamily="18" charset="0"/>
              <a:cs typeface="Times New Roman" panose="02020603050405020304" pitchFamily="18" charset="0"/>
            </a:rPr>
            <a:t> </a:t>
          </a:r>
          <a:r>
            <a:rPr lang="en-IN" sz="1400" b="1">
              <a:solidFill>
                <a:srgbClr val="0070C0"/>
              </a:solidFill>
              <a:latin typeface="Times New Roman" panose="02020603050405020304" pitchFamily="18" charset="0"/>
              <a:cs typeface="Times New Roman" panose="02020603050405020304" pitchFamily="18" charset="0"/>
            </a:rPr>
            <a:t>Implement predictive and preventive maintenance scheduling.</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2.</a:t>
          </a:r>
          <a:r>
            <a:rPr lang="en-IN" sz="1400" b="1" baseline="0">
              <a:solidFill>
                <a:srgbClr val="0070C0"/>
              </a:solidFill>
              <a:latin typeface="Times New Roman" panose="02020603050405020304" pitchFamily="18" charset="0"/>
              <a:cs typeface="Times New Roman" panose="02020603050405020304" pitchFamily="18" charset="0"/>
            </a:rPr>
            <a:t> </a:t>
          </a:r>
          <a:r>
            <a:rPr lang="en-IN" sz="1400" b="1">
              <a:solidFill>
                <a:srgbClr val="0070C0"/>
              </a:solidFill>
              <a:latin typeface="Times New Roman" panose="02020603050405020304" pitchFamily="18" charset="0"/>
              <a:cs typeface="Times New Roman" panose="02020603050405020304" pitchFamily="18" charset="0"/>
            </a:rPr>
            <a:t>Procure additional ventilators or optimize equipment rotation.</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3. Improve utilization planning for underused equipment like MRI scanners.</a:t>
          </a:r>
        </a:p>
        <a:p>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4. Install backup power systems for critical medical equipment.</a:t>
          </a:r>
        </a:p>
        <a:p>
          <a:pPr algn="ctr"/>
          <a:endParaRPr lang="en-IN" sz="1400" b="1">
            <a:solidFill>
              <a:srgbClr val="0070C0"/>
            </a:solidFill>
            <a:latin typeface="Times New Roman" panose="02020603050405020304" pitchFamily="18" charset="0"/>
            <a:cs typeface="Times New Roman" panose="02020603050405020304" pitchFamily="18" charset="0"/>
          </a:endParaRPr>
        </a:p>
        <a:p>
          <a:r>
            <a:rPr lang="en-IN" sz="1400" b="1">
              <a:solidFill>
                <a:srgbClr val="0070C0"/>
              </a:solidFill>
              <a:latin typeface="Times New Roman" panose="02020603050405020304" pitchFamily="18" charset="0"/>
              <a:cs typeface="Times New Roman" panose="02020603050405020304" pitchFamily="18" charset="0"/>
            </a:rPr>
            <a:t>5. Monitor downtime and utilization trends regularly using dashboard analytics</a:t>
          </a:r>
          <a:r>
            <a:rPr lang="en-IN" sz="1100">
              <a:solidFill>
                <a:srgbClr val="0070C0"/>
              </a:solidFill>
            </a:rPr>
            <a:t>.</a:t>
          </a:r>
        </a:p>
      </xdr:txBody>
    </xdr:sp>
    <xdr:clientData/>
  </xdr:twoCellAnchor>
  <xdr:twoCellAnchor>
    <xdr:from>
      <xdr:col>19</xdr:col>
      <xdr:colOff>347139</xdr:colOff>
      <xdr:row>15</xdr:row>
      <xdr:rowOff>49766</xdr:rowOff>
    </xdr:from>
    <xdr:to>
      <xdr:col>30</xdr:col>
      <xdr:colOff>193184</xdr:colOff>
      <xdr:row>36</xdr:row>
      <xdr:rowOff>171719</xdr:rowOff>
    </xdr:to>
    <xdr:graphicFrame macro="">
      <xdr:nvGraphicFramePr>
        <xdr:cNvPr id="2" name="Chart 1">
          <a:extLst>
            <a:ext uri="{FF2B5EF4-FFF2-40B4-BE49-F238E27FC236}">
              <a16:creationId xmlns:a16="http://schemas.microsoft.com/office/drawing/2014/main" id="{99D37377-8738-441E-9C57-C50F099F4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30</xdr:row>
      <xdr:rowOff>0</xdr:rowOff>
    </xdr:from>
    <xdr:to>
      <xdr:col>7</xdr:col>
      <xdr:colOff>166735</xdr:colOff>
      <xdr:row>49</xdr:row>
      <xdr:rowOff>70684</xdr:rowOff>
    </xdr:to>
    <xdr:graphicFrame macro="">
      <xdr:nvGraphicFramePr>
        <xdr:cNvPr id="2" name="Chart 1">
          <a:extLst>
            <a:ext uri="{FF2B5EF4-FFF2-40B4-BE49-F238E27FC236}">
              <a16:creationId xmlns:a16="http://schemas.microsoft.com/office/drawing/2014/main" id="{2E5E6DE2-0499-4702-9326-8CF8FF32A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7920000" cy="50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ospital_Equipment_Analysi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agul" refreshedDate="46151.842163194444" createdVersion="8" refreshedVersion="8" minRefreshableVersion="3" recordCount="300" xr:uid="{96CC40DC-7E6B-4148-B6EE-3F56931A3F4D}">
  <cacheSource type="worksheet">
    <worksheetSource ref="A1:N301" sheet="Hospital_Equipment_Analysis" r:id="rId2"/>
  </cacheSource>
  <cacheFields count="14">
    <cacheField name="Equipment_ID" numFmtId="0">
      <sharedItems/>
    </cacheField>
    <cacheField name="Equipment_Name" numFmtId="0">
      <sharedItems count="12">
        <s v="Surgical Robot"/>
        <s v="Anesthesia Machine"/>
        <s v="X-Ray Machine"/>
        <s v="ECG Machine"/>
        <s v="Ventilator"/>
        <s v="MRI Scanner"/>
        <s v="CT Scanner"/>
        <s v="Defibrillator"/>
        <s v="Patient Monitor"/>
        <s v="Ultrasound Machine"/>
        <s v="Dialysis Machine"/>
        <s v="Infusion Pump"/>
      </sharedItems>
    </cacheField>
    <cacheField name="Department" numFmtId="0">
      <sharedItems count="18">
        <s v="ICU"/>
        <s v="Emergency"/>
        <s v="OT"/>
        <s v="Cardiology"/>
        <s v="General Ward"/>
        <s v="Nephrology"/>
        <s v="Radiology"/>
        <s v="Formula1" f="1"/>
        <s v="Formula2" f="1"/>
        <s v="Formula3" f="1"/>
        <s v="Formula4" f="1"/>
        <s v="Formula5" f="1"/>
        <s v="Formula6" f="1"/>
        <s v="Formula7" f="1"/>
        <s v="Formula8" f="1"/>
        <s v="Formula9" f="1"/>
        <s v="Formula10" f="1"/>
        <s v="Formula11" f="1"/>
      </sharedItems>
    </cacheField>
    <cacheField name="Date" numFmtId="164">
      <sharedItems containsSemiMixedTypes="0" containsNonDate="0" containsDate="1" containsString="0" minDate="2024-01-01T00:00:00" maxDate="2024-06-30T00:00:00" count="144">
        <d v="2024-01-07T00:00:00"/>
        <d v="2024-01-09T00:00:00"/>
        <d v="2024-05-30T00:00:00"/>
        <d v="2024-02-09T00:00:00"/>
        <d v="2024-03-08T00:00:00"/>
        <d v="2024-04-02T00:00:00"/>
        <d v="2024-01-26T00:00:00"/>
        <d v="2024-03-09T00:00:00"/>
        <d v="2024-04-07T00:00:00"/>
        <d v="2024-05-07T00:00:00"/>
        <d v="2024-05-23T00:00:00"/>
        <d v="2024-05-10T00:00:00"/>
        <d v="2024-04-08T00:00:00"/>
        <d v="2024-02-11T00:00:00"/>
        <d v="2024-05-04T00:00:00"/>
        <d v="2024-05-20T00:00:00"/>
        <d v="2024-06-15T00:00:00"/>
        <d v="2024-01-06T00:00:00"/>
        <d v="2024-02-03T00:00:00"/>
        <d v="2024-01-25T00:00:00"/>
        <d v="2024-06-14T00:00:00"/>
        <d v="2024-05-17T00:00:00"/>
        <d v="2024-01-13T00:00:00"/>
        <d v="2024-05-03T00:00:00"/>
        <d v="2024-04-26T00:00:00"/>
        <d v="2024-02-25T00:00:00"/>
        <d v="2024-05-02T00:00:00"/>
        <d v="2024-01-18T00:00:00"/>
        <d v="2024-01-11T00:00:00"/>
        <d v="2024-03-21T00:00:00"/>
        <d v="2024-04-27T00:00:00"/>
        <d v="2024-06-16T00:00:00"/>
        <d v="2024-01-28T00:00:00"/>
        <d v="2024-06-11T00:00:00"/>
        <d v="2024-03-11T00:00:00"/>
        <d v="2024-04-19T00:00:00"/>
        <d v="2024-04-04T00:00:00"/>
        <d v="2024-02-23T00:00:00"/>
        <d v="2024-06-20T00:00:00"/>
        <d v="2024-04-30T00:00:00"/>
        <d v="2024-02-19T00:00:00"/>
        <d v="2024-05-28T00:00:00"/>
        <d v="2024-04-21T00:00:00"/>
        <d v="2024-06-19T00:00:00"/>
        <d v="2024-03-24T00:00:00"/>
        <d v="2024-02-14T00:00:00"/>
        <d v="2024-04-20T00:00:00"/>
        <d v="2024-02-13T00:00:00"/>
        <d v="2024-03-01T00:00:00"/>
        <d v="2024-06-05T00:00:00"/>
        <d v="2024-02-15T00:00:00"/>
        <d v="2024-04-28T00:00:00"/>
        <d v="2024-02-10T00:00:00"/>
        <d v="2024-02-29T00:00:00"/>
        <d v="2024-04-29T00:00:00"/>
        <d v="2024-03-10T00:00:00"/>
        <d v="2024-03-27T00:00:00"/>
        <d v="2024-01-21T00:00:00"/>
        <d v="2024-01-08T00:00:00"/>
        <d v="2024-06-04T00:00:00"/>
        <d v="2024-03-20T00:00:00"/>
        <d v="2024-06-09T00:00:00"/>
        <d v="2024-05-13T00:00:00"/>
        <d v="2024-05-31T00:00:00"/>
        <d v="2024-03-31T00:00:00"/>
        <d v="2024-05-12T00:00:00"/>
        <d v="2024-03-03T00:00:00"/>
        <d v="2024-03-25T00:00:00"/>
        <d v="2024-05-14T00:00:00"/>
        <d v="2024-03-18T00:00:00"/>
        <d v="2024-05-05T00:00:00"/>
        <d v="2024-01-14T00:00:00"/>
        <d v="2024-06-10T00:00:00"/>
        <d v="2024-05-22T00:00:00"/>
        <d v="2024-02-24T00:00:00"/>
        <d v="2024-04-14T00:00:00"/>
        <d v="2024-02-27T00:00:00"/>
        <d v="2024-03-19T00:00:00"/>
        <d v="2024-06-28T00:00:00"/>
        <d v="2024-03-30T00:00:00"/>
        <d v="2024-05-06T00:00:00"/>
        <d v="2024-03-05T00:00:00"/>
        <d v="2024-02-18T00:00:00"/>
        <d v="2024-03-02T00:00:00"/>
        <d v="2024-01-30T00:00:00"/>
        <d v="2024-05-09T00:00:00"/>
        <d v="2024-06-29T00:00:00"/>
        <d v="2024-02-02T00:00:00"/>
        <d v="2024-01-04T00:00:00"/>
        <d v="2024-06-08T00:00:00"/>
        <d v="2024-01-24T00:00:00"/>
        <d v="2024-06-26T00:00:00"/>
        <d v="2024-03-06T00:00:00"/>
        <d v="2024-03-29T00:00:00"/>
        <d v="2024-06-24T00:00:00"/>
        <d v="2024-05-15T00:00:00"/>
        <d v="2024-06-21T00:00:00"/>
        <d v="2024-06-01T00:00:00"/>
        <d v="2024-05-21T00:00:00"/>
        <d v="2024-02-07T00:00:00"/>
        <d v="2024-01-17T00:00:00"/>
        <d v="2024-06-17T00:00:00"/>
        <d v="2024-04-15T00:00:00"/>
        <d v="2024-02-06T00:00:00"/>
        <d v="2024-01-22T00:00:00"/>
        <d v="2024-06-18T00:00:00"/>
        <d v="2024-03-13T00:00:00"/>
        <d v="2024-01-15T00:00:00"/>
        <d v="2024-01-02T00:00:00"/>
        <d v="2024-04-16T00:00:00"/>
        <d v="2024-06-13T00:00:00"/>
        <d v="2024-03-26T00:00:00"/>
        <d v="2024-05-29T00:00:00"/>
        <d v="2024-04-18T00:00:00"/>
        <d v="2024-05-18T00:00:00"/>
        <d v="2024-02-16T00:00:00"/>
        <d v="2024-06-22T00:00:00"/>
        <d v="2024-03-22T00:00:00"/>
        <d v="2024-01-01T00:00:00"/>
        <d v="2024-02-04T00:00:00"/>
        <d v="2024-06-03T00:00:00"/>
        <d v="2024-04-13T00:00:00"/>
        <d v="2024-03-12T00:00:00"/>
        <d v="2024-04-25T00:00:00"/>
        <d v="2024-03-17T00:00:00"/>
        <d v="2024-04-05T00:00:00"/>
        <d v="2024-06-25T00:00:00"/>
        <d v="2024-05-19T00:00:00"/>
        <d v="2024-05-26T00:00:00"/>
        <d v="2024-03-14T00:00:00"/>
        <d v="2024-05-01T00:00:00"/>
        <d v="2024-01-23T00:00:00"/>
        <d v="2024-03-15T00:00:00"/>
        <d v="2024-01-29T00:00:00"/>
        <d v="2024-03-16T00:00:00"/>
        <d v="2024-03-07T00:00:00"/>
        <d v="2024-05-08T00:00:00"/>
        <d v="2024-02-26T00:00:00"/>
        <d v="2024-04-24T00:00:00"/>
        <d v="2024-06-06T00:00:00"/>
        <d v="2024-06-27T00:00:00"/>
        <d v="2024-02-20T00:00:00"/>
        <d v="2024-02-08T00:00:00"/>
        <d v="2024-05-16T00:00:00"/>
      </sharedItems>
    </cacheField>
    <cacheField name="Scheduled_Hours" numFmtId="0">
      <sharedItems containsSemiMixedTypes="0" containsString="0" containsNumber="1" minValue="6" maxValue="12" count="60">
        <n v="10.4"/>
        <n v="6.2"/>
        <n v="7.7"/>
        <n v="7.3"/>
        <n v="10.8"/>
        <n v="9.5"/>
        <n v="8.3000000000000007"/>
        <n v="10.199999999999999"/>
        <n v="7.6"/>
        <n v="8.4"/>
        <n v="9.1999999999999993"/>
        <n v="9"/>
        <n v="10.6"/>
        <n v="11.8"/>
        <n v="11.3"/>
        <n v="10.9"/>
        <n v="7"/>
        <n v="8.1999999999999993"/>
        <n v="11.2"/>
        <n v="10.3"/>
        <n v="10"/>
        <n v="6.6"/>
        <n v="8.6999999999999993"/>
        <n v="9.9"/>
        <n v="10.1"/>
        <n v="9.6999999999999993"/>
        <n v="7.4"/>
        <n v="10.5"/>
        <n v="11.1"/>
        <n v="6.3"/>
        <n v="9.4"/>
        <n v="11.9"/>
        <n v="8.6"/>
        <n v="6"/>
        <n v="11.5"/>
        <n v="10.7"/>
        <n v="8.5"/>
        <n v="6.8"/>
        <n v="8.8000000000000007"/>
        <n v="11.7"/>
        <n v="6.7"/>
        <n v="7.5"/>
        <n v="7.8"/>
        <n v="8.1"/>
        <n v="9.6"/>
        <n v="6.1"/>
        <n v="6.4"/>
        <n v="7.9"/>
        <n v="9.1"/>
        <n v="11.6"/>
        <n v="8.9"/>
        <n v="6.9"/>
        <n v="7.2"/>
        <n v="12"/>
        <n v="7.1"/>
        <n v="8"/>
        <n v="6.5"/>
        <n v="9.8000000000000007"/>
        <n v="11"/>
        <n v="9.3000000000000007"/>
      </sharedItems>
    </cacheField>
    <cacheField name="Actual_Usage_Hours" numFmtId="0">
      <sharedItems containsSemiMixedTypes="0" containsString="0" containsNumber="1" minValue="2.5" maxValue="11.7"/>
    </cacheField>
    <cacheField name="Downtime_Hours" numFmtId="0">
      <sharedItems containsSemiMixedTypes="0" containsString="0" containsNumber="1" minValue="0" maxValue="6.4"/>
    </cacheField>
    <cacheField name="Downtime_Reason" numFmtId="0">
      <sharedItems count="8">
        <s v="Scheduled Maintenance"/>
        <s v="None"/>
        <s v="Operator Unavailable"/>
        <s v="Malfunction"/>
        <s v="Part Replacement"/>
        <s v="Software Glitch"/>
        <s v="Calibration"/>
        <s v="Power Failure"/>
      </sharedItems>
    </cacheField>
    <cacheField name="Maintenance_Type" numFmtId="0">
      <sharedItems count="3">
        <s v="Scheduled"/>
        <s v="None"/>
        <s v="Unscheduled"/>
      </sharedItems>
    </cacheField>
    <cacheField name="Technician_ID" numFmtId="0">
      <sharedItems count="8">
        <s v="TECH02"/>
        <s v="TECH04"/>
        <s v="TECH03"/>
        <s v="TECH05"/>
        <s v="TECH06"/>
        <s v="TECH07"/>
        <s v="TECH01"/>
        <s v="TECH08"/>
      </sharedItems>
    </cacheField>
    <cacheField name="Status" numFmtId="0">
      <sharedItems count="3">
        <s v="Under Repair"/>
        <s v="Idle"/>
        <s v="Active"/>
      </sharedItems>
    </cacheField>
    <cacheField name="Utilization_Rate(%)" numFmtId="0">
      <sharedItems containsSemiMixedTypes="0" containsString="0" containsNumber="1" minValue="39.68" maxValue="100"/>
    </cacheField>
    <cacheField name="Downtime_Rate(%)" numFmtId="0">
      <sharedItems containsSemiMixedTypes="0" containsString="0" containsNumber="1" minValue="0" maxValue="58.73"/>
    </cacheField>
    <cacheField name="Efficiency_Gap" numFmtId="0">
      <sharedItems containsSemiMixedTypes="0" containsString="0" containsNumber="1" minValue="0" maxValue="6.7"/>
    </cacheField>
  </cacheFields>
  <calculatedItems count="11">
    <calculatedItem>
      <pivotArea cacheIndex="1" outline="0" fieldPosition="0">
        <references count="1">
          <reference field="2" count="1">
            <x v="7"/>
          </reference>
        </references>
      </pivotArea>
    </calculatedItem>
    <calculatedItem>
      <pivotArea cacheIndex="1" outline="0" fieldPosition="0">
        <references count="1">
          <reference field="2" count="1">
            <x v="8"/>
          </reference>
        </references>
      </pivotArea>
    </calculatedItem>
    <calculatedItem>
      <pivotArea cacheIndex="1" outline="0" fieldPosition="0">
        <references count="1">
          <reference field="2" count="1">
            <x v="9"/>
          </reference>
        </references>
      </pivotArea>
    </calculatedItem>
    <calculatedItem>
      <pivotArea cacheIndex="1" outline="0" fieldPosition="0">
        <references count="1">
          <reference field="2" count="1">
            <x v="10"/>
          </reference>
        </references>
      </pivotArea>
    </calculatedItem>
    <calculatedItem>
      <pivotArea cacheIndex="1" outline="0" fieldPosition="0">
        <references count="1">
          <reference field="2" count="1">
            <x v="11"/>
          </reference>
        </references>
      </pivotArea>
    </calculatedItem>
    <calculatedItem>
      <pivotArea cacheIndex="1" outline="0" fieldPosition="0">
        <references count="1">
          <reference field="2" count="1">
            <x v="12"/>
          </reference>
        </references>
      </pivotArea>
    </calculatedItem>
    <calculatedItem>
      <pivotArea cacheIndex="1" outline="0" fieldPosition="0">
        <references count="1">
          <reference field="2" count="1">
            <x v="13"/>
          </reference>
        </references>
      </pivotArea>
    </calculatedItem>
    <calculatedItem>
      <pivotArea cacheIndex="1" outline="0" fieldPosition="0">
        <references count="1">
          <reference field="2" count="1">
            <x v="14"/>
          </reference>
        </references>
      </pivotArea>
    </calculatedItem>
    <calculatedItem>
      <pivotArea cacheIndex="1" outline="0" fieldPosition="0">
        <references count="1">
          <reference field="2" count="1">
            <x v="15"/>
          </reference>
        </references>
      </pivotArea>
    </calculatedItem>
    <calculatedItem>
      <pivotArea cacheIndex="1" outline="0" fieldPosition="0">
        <references count="1">
          <reference field="2" count="1">
            <x v="16"/>
          </reference>
        </references>
      </pivotArea>
    </calculatedItem>
    <calculatedItem>
      <pivotArea cacheIndex="1" outline="0" fieldPosition="0">
        <references count="1">
          <reference field="2" count="1">
            <x v="17"/>
          </reference>
        </references>
      </pivotArea>
    </calculatedItem>
  </calculatedItems>
  <extLst>
    <ext xmlns:x14="http://schemas.microsoft.com/office/spreadsheetml/2009/9/main" uri="{725AE2AE-9491-48be-B2B4-4EB974FC3084}">
      <x14:pivotCacheDefinition pivotCacheId="20818914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5.917441782411" backgroundQuery="1" createdVersion="8" refreshedVersion="8" minRefreshableVersion="3" recordCount="0" supportSubquery="1" supportAdvancedDrill="1" xr:uid="{F96AA94A-47E2-4B33-BD0A-1E37FF3ADC67}">
  <cacheSource type="external" connectionId="1"/>
  <cacheFields count="8">
    <cacheField name="[Range 1].[Equipment_Name].[Equipment_Name]" caption="Equipment_Name" numFmtId="0" hierarchy="18" level="1">
      <sharedItems count="12">
        <s v="Anesthesia Machine"/>
        <s v="CT Scanner"/>
        <s v="Defibrillator"/>
        <s v="Dialysis Machine"/>
        <s v="ECG Machine"/>
        <s v="Infusion Pump"/>
        <s v="MRI Scanner"/>
        <s v="Patient Monitor"/>
        <s v="Surgical Robot"/>
        <s v="Ultrasound Machine"/>
        <s v="Ventilator"/>
        <s v="X-Ray Machine"/>
      </sharedItems>
    </cacheField>
    <cacheField name="[Range 1].[Department].[Department]" caption="Department" numFmtId="0" hierarchy="19" level="1">
      <sharedItems count="7">
        <s v="Cardiology"/>
        <s v="Emergency"/>
        <s v="General Ward"/>
        <s v="ICU"/>
        <s v="Nephrology"/>
        <s v="OT"/>
        <s v="Radiology"/>
      </sharedItems>
    </cacheField>
    <cacheField name="[Measures].[Sum of Utilization_Rate(%)]" caption="Sum of Utilization_Rate(%)" numFmtId="0" hierarchy="37" level="32767"/>
    <cacheField name="[Measures].[Sum of Efficiency_Gap]" caption="Sum of Efficiency_Gap" numFmtId="0" hierarchy="38" level="32767"/>
    <cacheField name="[Range].[Equipment_Name].[Equipment_Name]" caption="Equipment_Name" numFmtId="0" hierarchy="1" level="1">
      <sharedItems containsSemiMixedTypes="0" containsNonDate="0" containsString="0"/>
    </cacheField>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 name="[Range].[Department].[Department]" caption="Department" numFmtId="0" hierarchy="2"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4"/>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7"/>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5"/>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6"/>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2" memberValueDatatype="130" unbalanced="0">
      <fieldsUsage count="2">
        <fieldUsage x="-1"/>
        <fieldUsage x="0"/>
      </fieldsUsage>
    </cacheHierarchy>
    <cacheHierarchy uniqueName="[Range 1].[Department]" caption="Department" attribute="1" defaultMemberUniqueName="[Range 1].[Department].[All]" allUniqueName="[Range 1].[Department].[All]" dimensionUniqueName="[Range 1]" displayFolder="" count="2" memberValueDatatype="130" unbalanced="0">
      <fieldsUsage count="2">
        <fieldUsage x="-1"/>
        <fieldUsage x="1"/>
      </fieldsUsage>
    </cacheHierarchy>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04166667" backgroundQuery="1" createdVersion="8" refreshedVersion="8" minRefreshableVersion="3" recordCount="0" supportSubquery="1" supportAdvancedDrill="1" xr:uid="{A6736D9F-4C02-4F67-8A52-AC7249DE7653}">
  <cacheSource type="external" connectionId="1"/>
  <cacheFields count="6">
    <cacheField name="[Measures].[Sum of Utilization_Rate(%) 2]" caption="Sum of Utilization_Rate(%) 2" numFmtId="0" hierarchy="39" level="32767"/>
    <cacheField name="[Range].[Equipment_ID].[Equipment_ID]" caption="Equipment_ID" numFmtId="0" level="1">
      <sharedItems count="3">
        <s v="EQ002"/>
        <s v="EQ007"/>
        <s v="EQ010" u="1"/>
      </sharedItems>
    </cacheField>
    <cacheField name="[Range].[Department].[Department]" caption="Department" numFmtId="0" hierarchy="2" level="1">
      <sharedItems count="7">
        <s v="Cardiology"/>
        <s v="Emergency"/>
        <s v="General Ward"/>
        <s v="ICU"/>
        <s v="Nephrology"/>
        <s v="OT"/>
        <s v="Radiology" u="1"/>
      </sharedItems>
    </cacheField>
    <cacheField name="[Range].[Equipment_Name].[Equipment_Name]" caption="Equipment_Name" numFmtId="0" hierarchy="1" level="1">
      <sharedItems containsSemiMixedTypes="0" containsNonDate="0" containsString="0"/>
    </cacheField>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2" memberValueDatatype="130" unbalanced="0">
      <fieldsUsage count="2">
        <fieldUsage x="-1"/>
        <fieldUsage x="1"/>
      </fieldsUsage>
    </cacheHierarchy>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3"/>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4"/>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06134261" backgroundQuery="1" createdVersion="8" refreshedVersion="8" minRefreshableVersion="3" recordCount="0" supportSubquery="1" supportAdvancedDrill="1" xr:uid="{7187B449-1A7E-440D-A971-5E688BA51085}">
  <cacheSource type="external" connectionId="1"/>
  <cacheFields count="7">
    <cacheField name="[Range].[Equipment_Name].[Equipment_Name]" caption="Equipment_Name" numFmtId="0" hierarchy="1" level="1">
      <sharedItems count="2">
        <s v="CT Scanner"/>
        <s v="Defibrillator"/>
      </sharedItems>
    </cacheField>
    <cacheField name="[Range].[Department].[Department]" caption="Department" numFmtId="0" hierarchy="2" level="1">
      <sharedItems containsSemiMixedTypes="0" containsNonDate="0" containsString="0"/>
    </cacheField>
    <cacheField name="[Measures].[Sum of Efficiency_Gap 2]" caption="Sum of Efficiency_Gap 2" numFmtId="0" hierarchy="42" level="32767"/>
    <cacheField name="[Range].[Equipment_ID].[Equipment_ID]" caption="Equipment_ID" numFmtId="0" level="1">
      <sharedItems containsSemiMixedTypes="0" containsNonDate="0" containsString="0"/>
    </cacheField>
    <cacheField name="[Measures].[Sum of Utilization_Rate(%) 2]" caption="Sum of Utilization_Rate(%) 2" numFmtId="0" hierarchy="39" level="32767"/>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2" memberValueDatatype="130" unbalanced="0">
      <fieldsUsage count="2">
        <fieldUsage x="-1"/>
        <fieldUsage x="3"/>
      </fieldsUsage>
    </cacheHierarchy>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5"/>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6"/>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07754631" backgroundQuery="1" createdVersion="8" refreshedVersion="8" minRefreshableVersion="3" recordCount="0" supportSubquery="1" supportAdvancedDrill="1" xr:uid="{3A77FC7D-0734-46CA-BF6A-108C960D4184}">
  <cacheSource type="external" connectionId="1"/>
  <cacheFields count="5">
    <cacheField name="[Range].[Equipment_Name].[Equipment_Name]" caption="Equipment_Name" numFmtId="0" hierarchy="1" level="1">
      <sharedItems count="12">
        <s v="Anesthesia Machine"/>
        <s v="CT Scanner"/>
        <s v="Defibrillator"/>
        <s v="Dialysis Machine"/>
        <s v="ECG Machine"/>
        <s v="Infusion Pump"/>
        <s v="MRI Scanner"/>
        <s v="Patient Monitor"/>
        <s v="Surgical Robot"/>
        <s v="Ultrasound Machine"/>
        <s v="Ventilator"/>
        <s v="X-Ray Machine"/>
      </sharedItems>
    </cacheField>
    <cacheField name="[Measures].[Sum of Efficiency_Gap 2]" caption="Sum of Efficiency_Gap 2" numFmtId="0" hierarchy="42" level="32767"/>
    <cacheField name="[Range].[Department].[Department]" caption="Department" numFmtId="0" hierarchy="2" level="1">
      <sharedItems count="7">
        <s v="General Ward"/>
        <s v="ICU"/>
        <s v="Nephrology"/>
        <s v="OT"/>
        <s v="Emergency" u="1"/>
        <s v="Cardiology" u="1"/>
        <s v="Radiology" u="1"/>
      </sharedItems>
    </cacheField>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3"/>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09606479" backgroundQuery="1" createdVersion="8" refreshedVersion="8" minRefreshableVersion="3" recordCount="0" supportSubquery="1" supportAdvancedDrill="1" xr:uid="{7248FA39-BFD7-4BB9-93D9-C97246450D9A}">
  <cacheSource type="external" connectionId="1"/>
  <cacheFields count="8">
    <cacheField name="[Range].[Equipment_Name].[Equipment_Name]" caption="Equipment_Name" numFmtId="0" hierarchy="1" level="1">
      <sharedItems count="2">
        <s v="CT Scanner"/>
        <s v="Defibrillator"/>
      </sharedItems>
    </cacheField>
    <cacheField name="[Range].[Technician_ID].[Technician_ID]" caption="Technician_ID" numFmtId="0" hierarchy="9" level="1">
      <sharedItems count="8">
        <s v="TECH01"/>
        <s v="TECH02"/>
        <s v="TECH03"/>
        <s v="TECH04"/>
        <s v="TECH05"/>
        <s v="TECH06"/>
        <s v="TECH07"/>
        <s v="TECH08"/>
      </sharedItems>
    </cacheField>
    <cacheField name="[Range].[Downtime_Reason].[Downtime_Reason]" caption="Downtime_Reason" numFmtId="0" hierarchy="7" level="1">
      <sharedItems count="8">
        <s v="Calibration"/>
        <s v="Malfunction"/>
        <s v="None"/>
        <s v="Part Replacement"/>
        <s v="Operator Unavailable" u="1"/>
        <s v="Scheduled Maintenance" u="1"/>
        <s v="Power Failure" u="1"/>
        <s v="Software Glitch" u="1"/>
      </sharedItems>
    </cacheField>
    <cacheField name="[Measures].[Sum of Downtime_Rate(%)]" caption="Sum of Downtime_Rate(%)" numFmtId="0" hierarchy="40" level="32767"/>
    <cacheField name="[Range].[Date].[Date]" caption="Date" numFmtId="0" hierarchy="3" level="1">
      <sharedItems containsSemiMixedTypes="0" containsNonDate="0" containsString="0"/>
    </cacheField>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 name="[Range].[Department].[Department]" caption="Department" numFmtId="0" hierarchy="2"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7"/>
      </fieldsUsage>
    </cacheHierarchy>
    <cacheHierarchy uniqueName="[Range].[Date]" caption="Date" attribute="1" time="1" defaultMemberUniqueName="[Range].[Date].[All]" allUniqueName="[Range].[Date].[All]" dimensionUniqueName="[Range]" displayFolder="" count="2" memberValueDatatype="7" unbalanced="0">
      <fieldsUsage count="2">
        <fieldUsage x="-1"/>
        <fieldUsage x="4"/>
      </fieldsUsage>
    </cacheHierarchy>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2" memberValueDatatype="130" unbalanced="0">
      <fieldsUsage count="2">
        <fieldUsage x="-1"/>
        <fieldUsage x="2"/>
      </fieldsUsage>
    </cacheHierarchy>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5"/>
      </fieldsUsage>
    </cacheHierarchy>
    <cacheHierarchy uniqueName="[Range].[Technician_ID]" caption="Technician_ID" attribute="1" defaultMemberUniqueName="[Range].[Technician_ID].[All]" allUniqueName="[Range].[Technician_ID].[All]" dimensionUniqueName="[Range]" displayFolder="" count="2" memberValueDatatype="130" unbalanced="0">
      <fieldsUsage count="2">
        <fieldUsage x="-1"/>
        <fieldUsage x="1"/>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6"/>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12037034" backgroundQuery="1" createdVersion="8" refreshedVersion="8" minRefreshableVersion="3" recordCount="0" supportSubquery="1" supportAdvancedDrill="1" xr:uid="{09D5D518-2A1C-453D-B681-D210DAFD0C2B}">
  <cacheSource type="external" connectionId="1"/>
  <cacheFields count="7">
    <cacheField name="[Range].[Equipment_Name].[Equipment_Name]" caption="Equipment_Name" numFmtId="0" hierarchy="1" level="1">
      <sharedItems count="2">
        <s v="CT Scanner"/>
        <s v="Defibrillator"/>
      </sharedItems>
    </cacheField>
    <cacheField name="[Range].[Department].[Department]" caption="Department" numFmtId="0" hierarchy="2" level="1">
      <sharedItems count="7">
        <s v="General Ward"/>
        <s v="ICU"/>
        <s v="Nephrology"/>
        <s v="OT"/>
        <s v="Emergency" u="1"/>
        <s v="Cardiology" u="1"/>
        <s v="Radiology" u="1"/>
      </sharedItems>
    </cacheField>
    <cacheField name="[Measures].[Sum of Scheduled_Hours]" caption="Sum of Scheduled_Hours" numFmtId="0" hierarchy="43" level="32767"/>
    <cacheField name="[Measures].[Sum of Actual_Usage_Hours]" caption="Sum of Actual_Usage_Hours" numFmtId="0" hierarchy="44" level="32767"/>
    <cacheField name="[Measures].[Sum of Downtime_Hours]" caption="Sum of Downtime_Hours" numFmtId="0" hierarchy="41" level="32767"/>
    <cacheField name="[Range].[Maintenance_Type].[Maintenance_Type]" caption="Maintenance_Type" numFmtId="0" hierarchy="8" level="1">
      <sharedItems containsSemiMixedTypes="0" containsNonDate="0" containsString="0"/>
    </cacheField>
    <cacheField name="[Range].[Status].[Status]" caption="Status" numFmtId="0" hierarchy="10"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5"/>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6"/>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76.675313425927" backgroundQuery="1" createdVersion="8" refreshedVersion="8" minRefreshableVersion="3" recordCount="0" supportSubquery="1" supportAdvancedDrill="1" xr:uid="{CB401251-5B1D-42D7-8D34-220AC346C766}">
  <cacheSource type="external" connectionId="1"/>
  <cacheFields count="6">
    <cacheField name="[Range].[Downtime_Reason].[Downtime_Reason]" caption="Downtime_Reason" numFmtId="0" hierarchy="7" level="1">
      <sharedItems count="7">
        <s v="Operator Unavailable"/>
        <s v="Power Failure"/>
        <s v="Software Glitch"/>
        <s v="Malfunction" u="1"/>
        <s v="Calibration" u="1"/>
        <s v="Part Replacement" u="1"/>
        <s v="Scheduled Maintenance" u="1"/>
      </sharedItems>
    </cacheField>
    <cacheField name="[Measures].[Count of Maintenance_Type]" caption="Count of Maintenance_Type" numFmtId="0" hierarchy="46" level="32767"/>
    <cacheField name="[Range].[Status].[Status]" caption="Status" numFmtId="0" hierarchy="10" level="1">
      <sharedItems count="2">
        <s v="Active"/>
        <s v="Idle"/>
      </sharedItems>
    </cacheField>
    <cacheField name="[Range].[Equipment_Name].[Equipment_Name]" caption="Equipment_Name" numFmtId="0" hierarchy="1" level="1">
      <sharedItems count="3">
        <s v="CT Scanner"/>
        <s v="Defibrillator"/>
        <s v="X-Ray Machine" u="1"/>
      </sharedItems>
    </cacheField>
    <cacheField name="[Range].[Maintenance_Type].[Maintenance_Type]" caption="Maintenance_Type" numFmtId="0" hierarchy="8" level="1">
      <sharedItems containsSemiMixedTypes="0" containsNonDate="0" containsString="0"/>
    </cacheField>
    <cacheField name="[Range].[Department].[Department]" caption="Department" numFmtId="0" hierarchy="2" level="1">
      <sharedItems containsSemiMixedTypes="0" containsNonDate="0" containsString="0"/>
    </cacheField>
  </cacheFields>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fieldsUsage count="2">
        <fieldUsage x="-1"/>
        <fieldUsage x="3"/>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5"/>
      </fieldsUsage>
    </cacheHierarchy>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2" memberValueDatatype="130" unbalanced="0">
      <fieldsUsage count="2">
        <fieldUsage x="-1"/>
        <fieldUsage x="0"/>
      </fieldsUsage>
    </cacheHierarchy>
    <cacheHierarchy uniqueName="[Range].[Maintenance_Type]" caption="Maintenance_Type" attribute="1" defaultMemberUniqueName="[Range].[Maintenance_Type].[All]" allUniqueName="[Range].[Maintenance_Type].[All]" dimensionUniqueName="[Range]" displayFolder="" count="2" memberValueDatatype="130" unbalanced="0">
      <fieldsUsage count="2">
        <fieldUsage x="-1"/>
        <fieldUsage x="4"/>
      </fieldsUsage>
    </cacheHierarchy>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agul" refreshedDate="46152.710920949074" backgroundQuery="1" createdVersion="3" refreshedVersion="8" minRefreshableVersion="3" recordCount="0" supportSubquery="1" supportAdvancedDrill="1" xr:uid="{551FF028-C7A2-4564-A06B-5BC3C2B992AF}">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Range].[Equipment_ID]" caption="Equipment_ID" attribute="1" defaultMemberUniqueName="[Range].[Equipment_ID].[All]" allUniqueName="[Range].[Equipment_ID].[All]" dimensionUniqueName="[Range]" displayFolder="" count="0" memberValueDatatype="130" unbalanced="0"/>
    <cacheHierarchy uniqueName="[Range].[Equipment_Name]" caption="Equipment_Name" attribute="1" defaultMemberUniqueName="[Range].[Equipment_Name].[All]" allUniqueName="[Range].[Equipment_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Scheduled_Hours]" caption="Scheduled_Hours" attribute="1" defaultMemberUniqueName="[Range].[Scheduled_Hours].[All]" allUniqueName="[Range].[Scheduled_Hours].[All]" dimensionUniqueName="[Range]" displayFolder="" count="0" memberValueDatatype="5" unbalanced="0"/>
    <cacheHierarchy uniqueName="[Range].[Actual_Usage_Hours]" caption="Actual_Usage_Hours" attribute="1" defaultMemberUniqueName="[Range].[Actual_Usage_Hours].[All]" allUniqueName="[Range].[Actual_Usage_Hours].[All]" dimensionUniqueName="[Range]" displayFolder="" count="0" memberValueDatatype="5" unbalanced="0"/>
    <cacheHierarchy uniqueName="[Range].[Downtime_Hours]" caption="Downtime_Hours" attribute="1" defaultMemberUniqueName="[Range].[Downtime_Hours].[All]" allUniqueName="[Range].[Downtime_Hours].[All]" dimensionUniqueName="[Range]" displayFolder="" count="0" memberValueDatatype="5" unbalanced="0"/>
    <cacheHierarchy uniqueName="[Range].[Downtime_Reason]" caption="Downtime_Reason" attribute="1" defaultMemberUniqueName="[Range].[Downtime_Reason].[All]" allUniqueName="[Range].[Downtime_Reason].[All]" dimensionUniqueName="[Range]" displayFolder="" count="0" memberValueDatatype="130" unbalanced="0"/>
    <cacheHierarchy uniqueName="[Range].[Maintenance_Type]" caption="Maintenance_Type" attribute="1" defaultMemberUniqueName="[Range].[Maintenance_Type].[All]" allUniqueName="[Range].[Maintenance_Type].[All]" dimensionUniqueName="[Range]" displayFolder="" count="2" memberValueDatatype="130" unbalanced="0"/>
    <cacheHierarchy uniqueName="[Range].[Technician_ID]" caption="Technician_ID" attribute="1" defaultMemberUniqueName="[Range].[Technician_ID].[All]" allUniqueName="[Range].[Technician_ID].[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Utilization_Rate(%)]" caption="Utilization_Rate(%)" attribute="1" defaultMemberUniqueName="[Range].[Utilization_Rate(%)].[All]" allUniqueName="[Range].[Utilization_Rate(%)].[All]" dimensionUniqueName="[Range]" displayFolder="" count="0" memberValueDatatype="5" unbalanced="0"/>
    <cacheHierarchy uniqueName="[Range].[Downtime_Rate(%)]" caption="Downtime_Rate(%)" attribute="1" defaultMemberUniqueName="[Range].[Downtime_Rate(%)].[All]" allUniqueName="[Range].[Downtime_Rate(%)].[All]" dimensionUniqueName="[Range]" displayFolder="" count="0" memberValueDatatype="5" unbalanced="0"/>
    <cacheHierarchy uniqueName="[Range].[Efficiency_Gap]" caption="Efficiency_Gap" attribute="1" defaultMemberUniqueName="[Range].[Efficiency_Gap].[All]" allUniqueName="[Range].[Efficiency_Gap].[All]" dimensionUniqueName="[Range]" displayFolder="" count="0" memberValueDatatype="5" unbalanced="0"/>
    <cacheHierarchy uniqueName="[Range].[Total Equipment]" caption="Total Equipment" attribute="1" defaultMemberUniqueName="[Range].[Total Equipment].[All]" allUniqueName="[Range].[Total Equipment].[All]" dimensionUniqueName="[Range]" displayFolder="" count="0" memberValueDatatype="20" unbalanced="0"/>
    <cacheHierarchy uniqueName="[Range].[Total Department]" caption="Total Department" attribute="1" defaultMemberUniqueName="[Range].[Total Department].[All]" allUniqueName="[Range].[Total Department].[All]" dimensionUniqueName="[Range]" displayFolder="" count="0" memberValueDatatype="20" unbalanced="0"/>
    <cacheHierarchy uniqueName="[Range].[Date (Month)]" caption="Date (Month)" attribute="1" defaultMemberUniqueName="[Range].[Date (Month)].[All]" allUniqueName="[Range].[Date (Month)].[All]" dimensionUniqueName="[Range]" displayFolder="" count="0" memberValueDatatype="130" unbalanced="0"/>
    <cacheHierarchy uniqueName="[Range 1].[Equipment_ID]" caption="Equipment_ID" attribute="1" defaultMemberUniqueName="[Range 1].[Equipment_ID].[All]" allUniqueName="[Range 1].[Equipment_ID].[All]" dimensionUniqueName="[Range 1]" displayFolder="" count="0" memberValueDatatype="130" unbalanced="0"/>
    <cacheHierarchy uniqueName="[Range 1].[Equipment_Name]" caption="Equipment_Name" attribute="1" defaultMemberUniqueName="[Range 1].[Equipment_Name].[All]" allUniqueName="[Range 1].[Equipment_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Scheduled_Hours]" caption="Scheduled_Hours" attribute="1" defaultMemberUniqueName="[Range 1].[Scheduled_Hours].[All]" allUniqueName="[Range 1].[Scheduled_Hours].[All]" dimensionUniqueName="[Range 1]" displayFolder="" count="0" memberValueDatatype="5" unbalanced="0"/>
    <cacheHierarchy uniqueName="[Range 1].[Actual_Usage_Hours]" caption="Actual_Usage_Hours" attribute="1" defaultMemberUniqueName="[Range 1].[Actual_Usage_Hours].[All]" allUniqueName="[Range 1].[Actual_Usage_Hours].[All]" dimensionUniqueName="[Range 1]" displayFolder="" count="0" memberValueDatatype="5" unbalanced="0"/>
    <cacheHierarchy uniqueName="[Range 1].[Downtime_Hours]" caption="Downtime_Hours" attribute="1" defaultMemberUniqueName="[Range 1].[Downtime_Hours].[All]" allUniqueName="[Range 1].[Downtime_Hours].[All]" dimensionUniqueName="[Range 1]" displayFolder="" count="0" memberValueDatatype="5" unbalanced="0"/>
    <cacheHierarchy uniqueName="[Range 1].[Downtime_Reason]" caption="Downtime_Reason" attribute="1" defaultMemberUniqueName="[Range 1].[Downtime_Reason].[All]" allUniqueName="[Range 1].[Downtime_Reason].[All]" dimensionUniqueName="[Range 1]" displayFolder="" count="0" memberValueDatatype="130" unbalanced="0"/>
    <cacheHierarchy uniqueName="[Range 1].[Maintenance_Type]" caption="Maintenance_Type" attribute="1" defaultMemberUniqueName="[Range 1].[Maintenance_Type].[All]" allUniqueName="[Range 1].[Maintenance_Type].[All]" dimensionUniqueName="[Range 1]" displayFolder="" count="0" memberValueDatatype="130" unbalanced="0"/>
    <cacheHierarchy uniqueName="[Range 1].[Technician_ID]" caption="Technician_ID" attribute="1" defaultMemberUniqueName="[Range 1].[Technician_ID].[All]" allUniqueName="[Range 1].[Technician_ID].[All]" dimensionUniqueName="[Range 1]" displayFolder="" count="0" memberValueDatatype="130" unbalanced="0"/>
    <cacheHierarchy uniqueName="[Range 1].[Status]" caption="Status" attribute="1" defaultMemberUniqueName="[Range 1].[Status].[All]" allUniqueName="[Range 1].[Status].[All]" dimensionUniqueName="[Range 1]" displayFolder="" count="0" memberValueDatatype="130" unbalanced="0"/>
    <cacheHierarchy uniqueName="[Range 1].[Utilization_Rate(%)]" caption="Utilization_Rate(%)" attribute="1" defaultMemberUniqueName="[Range 1].[Utilization_Rate(%)].[All]" allUniqueName="[Range 1].[Utilization_Rate(%)].[All]" dimensionUniqueName="[Range 1]" displayFolder="" count="0" memberValueDatatype="5" unbalanced="0"/>
    <cacheHierarchy uniqueName="[Range 1].[Downtime_Rate(%)]" caption="Downtime_Rate(%)" attribute="1" defaultMemberUniqueName="[Range 1].[Downtime_Rate(%)].[All]" allUniqueName="[Range 1].[Downtime_Rate(%)].[All]" dimensionUniqueName="[Range 1]" displayFolder="" count="0" memberValueDatatype="5" unbalanced="0"/>
    <cacheHierarchy uniqueName="[Range 1].[Efficiency_Gap]" caption="Efficiency_Gap" attribute="1" defaultMemberUniqueName="[Range 1].[Efficiency_Gap].[All]" allUniqueName="[Range 1].[Efficiency_Gap].[All]" dimensionUniqueName="[Range 1]"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1]" caption="__XL_Count Range 1" measure="1" displayFolder="" measureGroup="Range 1"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tilization_Rate(%)]" caption="Sum of Utilization_Rate(%)" measure="1" displayFolder="" measureGroup="Range 1" count="0" hidden="1">
      <extLst>
        <ext xmlns:x15="http://schemas.microsoft.com/office/spreadsheetml/2010/11/main" uri="{B97F6D7D-B522-45F9-BDA1-12C45D357490}">
          <x15:cacheHierarchy aggregatedColumn="28"/>
        </ext>
      </extLst>
    </cacheHierarchy>
    <cacheHierarchy uniqueName="[Measures].[Sum of Efficiency_Gap]" caption="Sum of Efficiency_Gap" measure="1" displayFolder="" measureGroup="Range 1" count="0" hidden="1">
      <extLst>
        <ext xmlns:x15="http://schemas.microsoft.com/office/spreadsheetml/2010/11/main" uri="{B97F6D7D-B522-45F9-BDA1-12C45D357490}">
          <x15:cacheHierarchy aggregatedColumn="30"/>
        </ext>
      </extLst>
    </cacheHierarchy>
    <cacheHierarchy uniqueName="[Measures].[Sum of Utilization_Rate(%) 2]" caption="Sum of Utilization_Rate(%) 2" measure="1" displayFolder="" measureGroup="Range" count="0" hidden="1">
      <extLst>
        <ext xmlns:x15="http://schemas.microsoft.com/office/spreadsheetml/2010/11/main" uri="{B97F6D7D-B522-45F9-BDA1-12C45D357490}">
          <x15:cacheHierarchy aggregatedColumn="11"/>
        </ext>
      </extLst>
    </cacheHierarchy>
    <cacheHierarchy uniqueName="[Measures].[Sum of Downtime_Rate(%)]" caption="Sum of Downtime_Rate(%)" measure="1" displayFolder="" measureGroup="Range" count="0" hidden="1">
      <extLst>
        <ext xmlns:x15="http://schemas.microsoft.com/office/spreadsheetml/2010/11/main" uri="{B97F6D7D-B522-45F9-BDA1-12C45D357490}">
          <x15:cacheHierarchy aggregatedColumn="12"/>
        </ext>
      </extLst>
    </cacheHierarchy>
    <cacheHierarchy uniqueName="[Measures].[Sum of Downtime_Hours]" caption="Sum of Downtime_Hours" measure="1" displayFolder="" measureGroup="Range" count="0" hidden="1">
      <extLst>
        <ext xmlns:x15="http://schemas.microsoft.com/office/spreadsheetml/2010/11/main" uri="{B97F6D7D-B522-45F9-BDA1-12C45D357490}">
          <x15:cacheHierarchy aggregatedColumn="6"/>
        </ext>
      </extLst>
    </cacheHierarchy>
    <cacheHierarchy uniqueName="[Measures].[Sum of Efficiency_Gap 2]" caption="Sum of Efficiency_Gap 2" measure="1" displayFolder="" measureGroup="Range" count="0" hidden="1">
      <extLst>
        <ext xmlns:x15="http://schemas.microsoft.com/office/spreadsheetml/2010/11/main" uri="{B97F6D7D-B522-45F9-BDA1-12C45D357490}">
          <x15:cacheHierarchy aggregatedColumn="13"/>
        </ext>
      </extLst>
    </cacheHierarchy>
    <cacheHierarchy uniqueName="[Measures].[Sum of Scheduled_Hours]" caption="Sum of Scheduled_Hours" measure="1" displayFolder="" measureGroup="Range" count="0" hidden="1">
      <extLst>
        <ext xmlns:x15="http://schemas.microsoft.com/office/spreadsheetml/2010/11/main" uri="{B97F6D7D-B522-45F9-BDA1-12C45D357490}">
          <x15:cacheHierarchy aggregatedColumn="4"/>
        </ext>
      </extLst>
    </cacheHierarchy>
    <cacheHierarchy uniqueName="[Measures].[Sum of Actual_Usage_Hours]" caption="Sum of Actual_Usage_Hours" measure="1" displayFolder="" measureGroup="Range" count="0" hidden="1">
      <extLst>
        <ext xmlns:x15="http://schemas.microsoft.com/office/spreadsheetml/2010/11/main" uri="{B97F6D7D-B522-45F9-BDA1-12C45D357490}">
          <x15:cacheHierarchy aggregatedColumn="5"/>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0"/>
        </ext>
      </extLst>
    </cacheHierarchy>
    <cacheHierarchy uniqueName="[Measures].[Count of Maintenance_Type]" caption="Count of Maintenance_Type" measure="1" displayFolder="" measureGroup="Range" count="0" hidden="1">
      <extLst>
        <ext xmlns:x15="http://schemas.microsoft.com/office/spreadsheetml/2010/11/main" uri="{B97F6D7D-B522-45F9-BDA1-12C45D357490}">
          <x15:cacheHierarchy aggregatedColumn="8"/>
        </ext>
      </extLst>
    </cacheHierarchy>
    <cacheHierarchy uniqueName="[Measures].[Count of Equipment_Name]" caption="Count of Equipment_Name"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9697515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Q011"/>
    <x v="0"/>
    <x v="0"/>
    <x v="0"/>
    <x v="0"/>
    <n v="5.7"/>
    <n v="4.5999999999999996"/>
    <x v="0"/>
    <x v="0"/>
    <x v="0"/>
    <x v="0"/>
    <n v="54.81"/>
    <n v="44.23"/>
    <n v="4.7"/>
  </r>
  <r>
    <s v="EQ010"/>
    <x v="1"/>
    <x v="1"/>
    <x v="1"/>
    <x v="1"/>
    <n v="3.3"/>
    <n v="2.4"/>
    <x v="0"/>
    <x v="0"/>
    <x v="1"/>
    <x v="1"/>
    <n v="53.23"/>
    <n v="38.71"/>
    <n v="2.9"/>
  </r>
  <r>
    <s v="EQ004"/>
    <x v="2"/>
    <x v="1"/>
    <x v="2"/>
    <x v="2"/>
    <n v="7.1"/>
    <n v="0"/>
    <x v="1"/>
    <x v="1"/>
    <x v="2"/>
    <x v="1"/>
    <n v="92.21"/>
    <n v="0"/>
    <n v="0.6"/>
  </r>
  <r>
    <s v="EQ006"/>
    <x v="3"/>
    <x v="2"/>
    <x v="3"/>
    <x v="3"/>
    <n v="6.3"/>
    <n v="0.9"/>
    <x v="2"/>
    <x v="2"/>
    <x v="0"/>
    <x v="2"/>
    <n v="86.3"/>
    <n v="12.33"/>
    <n v="1"/>
  </r>
  <r>
    <s v="EQ006"/>
    <x v="3"/>
    <x v="3"/>
    <x v="4"/>
    <x v="4"/>
    <n v="9"/>
    <n v="1.3"/>
    <x v="2"/>
    <x v="2"/>
    <x v="0"/>
    <x v="2"/>
    <n v="83.33"/>
    <n v="12.04"/>
    <n v="1.8"/>
  </r>
  <r>
    <s v="EQ011"/>
    <x v="0"/>
    <x v="3"/>
    <x v="5"/>
    <x v="5"/>
    <n v="7.8"/>
    <n v="1.7"/>
    <x v="3"/>
    <x v="2"/>
    <x v="3"/>
    <x v="2"/>
    <n v="82.11"/>
    <n v="17.89"/>
    <n v="1.7"/>
  </r>
  <r>
    <s v="EQ004"/>
    <x v="2"/>
    <x v="4"/>
    <x v="6"/>
    <x v="6"/>
    <n v="5.6"/>
    <n v="1.9"/>
    <x v="3"/>
    <x v="2"/>
    <x v="4"/>
    <x v="2"/>
    <n v="67.47"/>
    <n v="22.89"/>
    <n v="2.7"/>
  </r>
  <r>
    <s v="EQ004"/>
    <x v="2"/>
    <x v="5"/>
    <x v="7"/>
    <x v="7"/>
    <n v="8.3000000000000007"/>
    <n v="1.8"/>
    <x v="4"/>
    <x v="2"/>
    <x v="2"/>
    <x v="2"/>
    <n v="81.37"/>
    <n v="17.649999999999999"/>
    <n v="1.9"/>
  </r>
  <r>
    <s v="EQ003"/>
    <x v="4"/>
    <x v="1"/>
    <x v="8"/>
    <x v="8"/>
    <n v="7.3"/>
    <n v="0"/>
    <x v="1"/>
    <x v="1"/>
    <x v="1"/>
    <x v="2"/>
    <n v="96.05"/>
    <n v="0"/>
    <n v="0.3"/>
  </r>
  <r>
    <s v="EQ001"/>
    <x v="5"/>
    <x v="6"/>
    <x v="1"/>
    <x v="4"/>
    <n v="6.9"/>
    <n v="3.8"/>
    <x v="5"/>
    <x v="2"/>
    <x v="4"/>
    <x v="0"/>
    <n v="63.89"/>
    <n v="35.19"/>
    <n v="3.9"/>
  </r>
  <r>
    <s v="EQ004"/>
    <x v="2"/>
    <x v="5"/>
    <x v="9"/>
    <x v="9"/>
    <n v="8"/>
    <n v="0"/>
    <x v="1"/>
    <x v="1"/>
    <x v="3"/>
    <x v="2"/>
    <n v="95.24"/>
    <n v="0"/>
    <n v="0.4"/>
  </r>
  <r>
    <s v="EQ004"/>
    <x v="2"/>
    <x v="5"/>
    <x v="10"/>
    <x v="10"/>
    <n v="7.8"/>
    <n v="1"/>
    <x v="5"/>
    <x v="2"/>
    <x v="5"/>
    <x v="2"/>
    <n v="84.78"/>
    <n v="10.87"/>
    <n v="1.4"/>
  </r>
  <r>
    <s v="EQ004"/>
    <x v="2"/>
    <x v="6"/>
    <x v="11"/>
    <x v="11"/>
    <n v="7.7"/>
    <n v="0.4"/>
    <x v="3"/>
    <x v="2"/>
    <x v="2"/>
    <x v="1"/>
    <n v="85.56"/>
    <n v="4.4400000000000004"/>
    <n v="1.3"/>
  </r>
  <r>
    <s v="EQ010"/>
    <x v="1"/>
    <x v="0"/>
    <x v="12"/>
    <x v="6"/>
    <n v="8.3000000000000007"/>
    <n v="0"/>
    <x v="1"/>
    <x v="1"/>
    <x v="6"/>
    <x v="2"/>
    <n v="100"/>
    <n v="0"/>
    <n v="0"/>
  </r>
  <r>
    <s v="EQ011"/>
    <x v="0"/>
    <x v="3"/>
    <x v="7"/>
    <x v="12"/>
    <n v="6.4"/>
    <n v="3.9"/>
    <x v="3"/>
    <x v="2"/>
    <x v="7"/>
    <x v="0"/>
    <n v="60.38"/>
    <n v="36.79"/>
    <n v="4.2"/>
  </r>
  <r>
    <s v="EQ001"/>
    <x v="5"/>
    <x v="5"/>
    <x v="4"/>
    <x v="13"/>
    <n v="10.1"/>
    <n v="1.2"/>
    <x v="0"/>
    <x v="0"/>
    <x v="3"/>
    <x v="2"/>
    <n v="85.59"/>
    <n v="10.17"/>
    <n v="1.7"/>
  </r>
  <r>
    <s v="EQ003"/>
    <x v="4"/>
    <x v="2"/>
    <x v="13"/>
    <x v="10"/>
    <n v="8"/>
    <n v="0.7"/>
    <x v="0"/>
    <x v="0"/>
    <x v="4"/>
    <x v="1"/>
    <n v="86.96"/>
    <n v="7.61"/>
    <n v="1.2"/>
  </r>
  <r>
    <s v="EQ001"/>
    <x v="5"/>
    <x v="0"/>
    <x v="5"/>
    <x v="14"/>
    <n v="10.199999999999999"/>
    <n v="0.8"/>
    <x v="0"/>
    <x v="0"/>
    <x v="1"/>
    <x v="2"/>
    <n v="90.27"/>
    <n v="7.08"/>
    <n v="1.1000000000000001"/>
  </r>
  <r>
    <s v="EQ002"/>
    <x v="6"/>
    <x v="5"/>
    <x v="14"/>
    <x v="15"/>
    <n v="10.8"/>
    <n v="0"/>
    <x v="1"/>
    <x v="1"/>
    <x v="2"/>
    <x v="2"/>
    <n v="99.08"/>
    <n v="0"/>
    <n v="0.1"/>
  </r>
  <r>
    <s v="EQ011"/>
    <x v="0"/>
    <x v="1"/>
    <x v="15"/>
    <x v="16"/>
    <n v="5"/>
    <n v="1.4"/>
    <x v="3"/>
    <x v="2"/>
    <x v="1"/>
    <x v="2"/>
    <n v="71.430000000000007"/>
    <n v="20"/>
    <n v="2"/>
  </r>
  <r>
    <s v="EQ007"/>
    <x v="7"/>
    <x v="5"/>
    <x v="16"/>
    <x v="17"/>
    <n v="7.7"/>
    <n v="0"/>
    <x v="1"/>
    <x v="1"/>
    <x v="1"/>
    <x v="2"/>
    <n v="93.9"/>
    <n v="0"/>
    <n v="0.5"/>
  </r>
  <r>
    <s v="EQ002"/>
    <x v="6"/>
    <x v="2"/>
    <x v="17"/>
    <x v="5"/>
    <n v="5.0999999999999996"/>
    <n v="4.2"/>
    <x v="0"/>
    <x v="0"/>
    <x v="6"/>
    <x v="0"/>
    <n v="53.68"/>
    <n v="44.21"/>
    <n v="4.4000000000000004"/>
  </r>
  <r>
    <s v="EQ004"/>
    <x v="2"/>
    <x v="0"/>
    <x v="1"/>
    <x v="18"/>
    <n v="5"/>
    <n v="6"/>
    <x v="4"/>
    <x v="2"/>
    <x v="7"/>
    <x v="0"/>
    <n v="44.64"/>
    <n v="53.57"/>
    <n v="6.2"/>
  </r>
  <r>
    <s v="EQ004"/>
    <x v="2"/>
    <x v="3"/>
    <x v="18"/>
    <x v="19"/>
    <n v="9.6"/>
    <n v="0.1"/>
    <x v="3"/>
    <x v="2"/>
    <x v="7"/>
    <x v="1"/>
    <n v="93.2"/>
    <n v="0.97"/>
    <n v="0.7"/>
  </r>
  <r>
    <s v="EQ004"/>
    <x v="2"/>
    <x v="0"/>
    <x v="19"/>
    <x v="20"/>
    <n v="6.1"/>
    <n v="3.5"/>
    <x v="6"/>
    <x v="2"/>
    <x v="6"/>
    <x v="0"/>
    <n v="61"/>
    <n v="35"/>
    <n v="3.9"/>
  </r>
  <r>
    <s v="EQ011"/>
    <x v="0"/>
    <x v="5"/>
    <x v="20"/>
    <x v="21"/>
    <n v="4.2"/>
    <n v="2.1"/>
    <x v="6"/>
    <x v="2"/>
    <x v="0"/>
    <x v="2"/>
    <n v="63.64"/>
    <n v="31.82"/>
    <n v="2.4"/>
  </r>
  <r>
    <s v="EQ004"/>
    <x v="2"/>
    <x v="6"/>
    <x v="21"/>
    <x v="22"/>
    <n v="5.7"/>
    <n v="2.7"/>
    <x v="3"/>
    <x v="2"/>
    <x v="0"/>
    <x v="1"/>
    <n v="65.52"/>
    <n v="31.03"/>
    <n v="3"/>
  </r>
  <r>
    <s v="EQ009"/>
    <x v="8"/>
    <x v="0"/>
    <x v="22"/>
    <x v="23"/>
    <n v="7.2"/>
    <n v="2.7"/>
    <x v="0"/>
    <x v="0"/>
    <x v="1"/>
    <x v="2"/>
    <n v="72.73"/>
    <n v="27.27"/>
    <n v="2.7"/>
  </r>
  <r>
    <s v="EQ007"/>
    <x v="7"/>
    <x v="1"/>
    <x v="23"/>
    <x v="3"/>
    <n v="4.7"/>
    <n v="2.5"/>
    <x v="2"/>
    <x v="2"/>
    <x v="6"/>
    <x v="1"/>
    <n v="64.38"/>
    <n v="34.25"/>
    <n v="2.6"/>
  </r>
  <r>
    <s v="EQ005"/>
    <x v="9"/>
    <x v="4"/>
    <x v="24"/>
    <x v="2"/>
    <n v="6.3"/>
    <n v="0.7"/>
    <x v="6"/>
    <x v="2"/>
    <x v="7"/>
    <x v="2"/>
    <n v="81.819999999999993"/>
    <n v="9.09"/>
    <n v="1.4"/>
  </r>
  <r>
    <s v="EQ004"/>
    <x v="2"/>
    <x v="2"/>
    <x v="25"/>
    <x v="13"/>
    <n v="8.8000000000000007"/>
    <n v="2.5"/>
    <x v="4"/>
    <x v="2"/>
    <x v="4"/>
    <x v="2"/>
    <n v="74.58"/>
    <n v="21.19"/>
    <n v="3"/>
  </r>
  <r>
    <s v="EQ001"/>
    <x v="5"/>
    <x v="3"/>
    <x v="26"/>
    <x v="11"/>
    <n v="8.1999999999999993"/>
    <n v="0.6"/>
    <x v="5"/>
    <x v="2"/>
    <x v="0"/>
    <x v="2"/>
    <n v="91.11"/>
    <n v="6.67"/>
    <n v="0.8"/>
  </r>
  <r>
    <s v="EQ002"/>
    <x v="6"/>
    <x v="3"/>
    <x v="27"/>
    <x v="24"/>
    <n v="5.5"/>
    <n v="4.5"/>
    <x v="5"/>
    <x v="2"/>
    <x v="1"/>
    <x v="0"/>
    <n v="54.46"/>
    <n v="44.55"/>
    <n v="4.5999999999999996"/>
  </r>
  <r>
    <s v="EQ010"/>
    <x v="1"/>
    <x v="3"/>
    <x v="28"/>
    <x v="25"/>
    <n v="6.3"/>
    <n v="2.8"/>
    <x v="5"/>
    <x v="2"/>
    <x v="4"/>
    <x v="2"/>
    <n v="64.95"/>
    <n v="28.87"/>
    <n v="3.4"/>
  </r>
  <r>
    <s v="EQ004"/>
    <x v="2"/>
    <x v="5"/>
    <x v="29"/>
    <x v="26"/>
    <n v="4.7"/>
    <n v="2"/>
    <x v="7"/>
    <x v="2"/>
    <x v="7"/>
    <x v="2"/>
    <n v="63.51"/>
    <n v="27.03"/>
    <n v="2.7"/>
  </r>
  <r>
    <s v="EQ002"/>
    <x v="6"/>
    <x v="0"/>
    <x v="30"/>
    <x v="25"/>
    <n v="7.2"/>
    <n v="2.4"/>
    <x v="5"/>
    <x v="2"/>
    <x v="1"/>
    <x v="2"/>
    <n v="74.23"/>
    <n v="24.74"/>
    <n v="2.5"/>
  </r>
  <r>
    <s v="EQ003"/>
    <x v="4"/>
    <x v="2"/>
    <x v="27"/>
    <x v="14"/>
    <n v="7"/>
    <n v="4.0999999999999996"/>
    <x v="6"/>
    <x v="2"/>
    <x v="3"/>
    <x v="0"/>
    <n v="61.95"/>
    <n v="36.28"/>
    <n v="4.3"/>
  </r>
  <r>
    <s v="EQ010"/>
    <x v="1"/>
    <x v="4"/>
    <x v="31"/>
    <x v="10"/>
    <n v="7.4"/>
    <n v="1.2"/>
    <x v="4"/>
    <x v="2"/>
    <x v="0"/>
    <x v="2"/>
    <n v="80.430000000000007"/>
    <n v="13.04"/>
    <n v="1.8"/>
  </r>
  <r>
    <s v="EQ005"/>
    <x v="9"/>
    <x v="0"/>
    <x v="32"/>
    <x v="27"/>
    <n v="5.2"/>
    <n v="5"/>
    <x v="3"/>
    <x v="2"/>
    <x v="4"/>
    <x v="0"/>
    <n v="49.52"/>
    <n v="47.62"/>
    <n v="5.3"/>
  </r>
  <r>
    <s v="EQ004"/>
    <x v="2"/>
    <x v="5"/>
    <x v="33"/>
    <x v="28"/>
    <n v="7.8"/>
    <n v="3"/>
    <x v="6"/>
    <x v="2"/>
    <x v="6"/>
    <x v="2"/>
    <n v="70.27"/>
    <n v="27.03"/>
    <n v="3.3"/>
  </r>
  <r>
    <s v="EQ011"/>
    <x v="0"/>
    <x v="1"/>
    <x v="34"/>
    <x v="29"/>
    <n v="3.8"/>
    <n v="2.4"/>
    <x v="7"/>
    <x v="2"/>
    <x v="2"/>
    <x v="1"/>
    <n v="60.32"/>
    <n v="38.1"/>
    <n v="2.5"/>
  </r>
  <r>
    <s v="EQ009"/>
    <x v="8"/>
    <x v="5"/>
    <x v="35"/>
    <x v="30"/>
    <n v="4.4000000000000004"/>
    <n v="4.0999999999999996"/>
    <x v="4"/>
    <x v="2"/>
    <x v="2"/>
    <x v="0"/>
    <n v="46.81"/>
    <n v="43.62"/>
    <n v="5"/>
  </r>
  <r>
    <s v="EQ009"/>
    <x v="8"/>
    <x v="0"/>
    <x v="36"/>
    <x v="5"/>
    <n v="4.5999999999999996"/>
    <n v="4.8"/>
    <x v="7"/>
    <x v="2"/>
    <x v="4"/>
    <x v="0"/>
    <n v="48.42"/>
    <n v="50.53"/>
    <n v="4.9000000000000004"/>
  </r>
  <r>
    <s v="EQ001"/>
    <x v="5"/>
    <x v="2"/>
    <x v="37"/>
    <x v="24"/>
    <n v="8.1"/>
    <n v="1.6"/>
    <x v="5"/>
    <x v="2"/>
    <x v="5"/>
    <x v="2"/>
    <n v="80.2"/>
    <n v="15.84"/>
    <n v="2"/>
  </r>
  <r>
    <s v="EQ004"/>
    <x v="2"/>
    <x v="4"/>
    <x v="13"/>
    <x v="31"/>
    <n v="10.5"/>
    <n v="0.5"/>
    <x v="0"/>
    <x v="0"/>
    <x v="2"/>
    <x v="2"/>
    <n v="88.24"/>
    <n v="4.2"/>
    <n v="1.4"/>
  </r>
  <r>
    <s v="EQ007"/>
    <x v="7"/>
    <x v="4"/>
    <x v="38"/>
    <x v="18"/>
    <n v="9.9"/>
    <n v="1"/>
    <x v="6"/>
    <x v="2"/>
    <x v="0"/>
    <x v="1"/>
    <n v="88.39"/>
    <n v="8.93"/>
    <n v="1.3"/>
  </r>
  <r>
    <s v="EQ001"/>
    <x v="5"/>
    <x v="4"/>
    <x v="39"/>
    <x v="3"/>
    <n v="6.5"/>
    <n v="0.3"/>
    <x v="7"/>
    <x v="2"/>
    <x v="1"/>
    <x v="2"/>
    <n v="89.04"/>
    <n v="4.1100000000000003"/>
    <n v="0.8"/>
  </r>
  <r>
    <s v="EQ001"/>
    <x v="5"/>
    <x v="5"/>
    <x v="40"/>
    <x v="9"/>
    <n v="4.8"/>
    <n v="3.5"/>
    <x v="6"/>
    <x v="2"/>
    <x v="3"/>
    <x v="0"/>
    <n v="57.14"/>
    <n v="41.67"/>
    <n v="3.6"/>
  </r>
  <r>
    <s v="EQ006"/>
    <x v="3"/>
    <x v="5"/>
    <x v="11"/>
    <x v="9"/>
    <n v="8.3000000000000007"/>
    <n v="0"/>
    <x v="1"/>
    <x v="1"/>
    <x v="6"/>
    <x v="2"/>
    <n v="98.81"/>
    <n v="0"/>
    <n v="0.1"/>
  </r>
  <r>
    <s v="EQ005"/>
    <x v="9"/>
    <x v="6"/>
    <x v="41"/>
    <x v="13"/>
    <n v="6.6"/>
    <n v="5.0999999999999996"/>
    <x v="2"/>
    <x v="2"/>
    <x v="4"/>
    <x v="0"/>
    <n v="55.93"/>
    <n v="43.22"/>
    <n v="5.2"/>
  </r>
  <r>
    <s v="EQ012"/>
    <x v="10"/>
    <x v="4"/>
    <x v="29"/>
    <x v="32"/>
    <n v="8.5"/>
    <n v="0"/>
    <x v="1"/>
    <x v="1"/>
    <x v="1"/>
    <x v="2"/>
    <n v="98.84"/>
    <n v="0"/>
    <n v="0.1"/>
  </r>
  <r>
    <s v="EQ001"/>
    <x v="5"/>
    <x v="5"/>
    <x v="42"/>
    <x v="33"/>
    <n v="5.7"/>
    <n v="0"/>
    <x v="1"/>
    <x v="1"/>
    <x v="1"/>
    <x v="2"/>
    <n v="95"/>
    <n v="0"/>
    <n v="0.3"/>
  </r>
  <r>
    <s v="EQ007"/>
    <x v="7"/>
    <x v="0"/>
    <x v="43"/>
    <x v="34"/>
    <n v="8.9"/>
    <n v="1.9"/>
    <x v="0"/>
    <x v="0"/>
    <x v="3"/>
    <x v="2"/>
    <n v="77.39"/>
    <n v="16.52"/>
    <n v="2.6"/>
  </r>
  <r>
    <s v="EQ011"/>
    <x v="0"/>
    <x v="1"/>
    <x v="44"/>
    <x v="9"/>
    <n v="4.9000000000000004"/>
    <n v="3.4"/>
    <x v="2"/>
    <x v="2"/>
    <x v="5"/>
    <x v="0"/>
    <n v="58.33"/>
    <n v="40.479999999999997"/>
    <n v="3.5"/>
  </r>
  <r>
    <s v="EQ011"/>
    <x v="0"/>
    <x v="5"/>
    <x v="45"/>
    <x v="25"/>
    <n v="5.6"/>
    <n v="3.6"/>
    <x v="0"/>
    <x v="0"/>
    <x v="3"/>
    <x v="0"/>
    <n v="57.73"/>
    <n v="37.11"/>
    <n v="4.0999999999999996"/>
  </r>
  <r>
    <s v="EQ005"/>
    <x v="9"/>
    <x v="6"/>
    <x v="46"/>
    <x v="35"/>
    <n v="8.1999999999999993"/>
    <n v="2.2000000000000002"/>
    <x v="2"/>
    <x v="2"/>
    <x v="7"/>
    <x v="2"/>
    <n v="76.64"/>
    <n v="20.56"/>
    <n v="2.5"/>
  </r>
  <r>
    <s v="EQ009"/>
    <x v="8"/>
    <x v="1"/>
    <x v="47"/>
    <x v="20"/>
    <n v="5.7"/>
    <n v="3.6"/>
    <x v="5"/>
    <x v="2"/>
    <x v="4"/>
    <x v="0"/>
    <n v="57"/>
    <n v="36"/>
    <n v="4.3"/>
  </r>
  <r>
    <s v="EQ002"/>
    <x v="6"/>
    <x v="4"/>
    <x v="48"/>
    <x v="20"/>
    <n v="5.3"/>
    <n v="4.5"/>
    <x v="0"/>
    <x v="0"/>
    <x v="6"/>
    <x v="0"/>
    <n v="53"/>
    <n v="45"/>
    <n v="4.7"/>
  </r>
  <r>
    <s v="EQ004"/>
    <x v="2"/>
    <x v="1"/>
    <x v="49"/>
    <x v="28"/>
    <n v="4.9000000000000004"/>
    <n v="5.8"/>
    <x v="4"/>
    <x v="2"/>
    <x v="1"/>
    <x v="0"/>
    <n v="44.14"/>
    <n v="52.25"/>
    <n v="6.2"/>
  </r>
  <r>
    <s v="EQ012"/>
    <x v="10"/>
    <x v="5"/>
    <x v="12"/>
    <x v="11"/>
    <n v="4.9000000000000004"/>
    <n v="3.4"/>
    <x v="0"/>
    <x v="0"/>
    <x v="0"/>
    <x v="0"/>
    <n v="54.44"/>
    <n v="37.78"/>
    <n v="4.0999999999999996"/>
  </r>
  <r>
    <s v="EQ007"/>
    <x v="7"/>
    <x v="6"/>
    <x v="50"/>
    <x v="4"/>
    <n v="8.8000000000000007"/>
    <n v="1.5"/>
    <x v="5"/>
    <x v="2"/>
    <x v="1"/>
    <x v="2"/>
    <n v="81.48"/>
    <n v="13.89"/>
    <n v="2"/>
  </r>
  <r>
    <s v="EQ008"/>
    <x v="11"/>
    <x v="6"/>
    <x v="51"/>
    <x v="20"/>
    <n v="9.9"/>
    <n v="0"/>
    <x v="1"/>
    <x v="1"/>
    <x v="7"/>
    <x v="1"/>
    <n v="99"/>
    <n v="0"/>
    <n v="0.1"/>
  </r>
  <r>
    <s v="EQ009"/>
    <x v="8"/>
    <x v="1"/>
    <x v="52"/>
    <x v="27"/>
    <n v="7.2"/>
    <n v="3"/>
    <x v="3"/>
    <x v="2"/>
    <x v="3"/>
    <x v="1"/>
    <n v="68.569999999999993"/>
    <n v="28.57"/>
    <n v="3.3"/>
  </r>
  <r>
    <s v="EQ011"/>
    <x v="0"/>
    <x v="6"/>
    <x v="34"/>
    <x v="32"/>
    <n v="7.1"/>
    <n v="1.3"/>
    <x v="7"/>
    <x v="2"/>
    <x v="4"/>
    <x v="2"/>
    <n v="82.56"/>
    <n v="15.12"/>
    <n v="1.5"/>
  </r>
  <r>
    <s v="EQ003"/>
    <x v="4"/>
    <x v="6"/>
    <x v="53"/>
    <x v="6"/>
    <n v="4.0999999999999996"/>
    <n v="4"/>
    <x v="2"/>
    <x v="2"/>
    <x v="5"/>
    <x v="0"/>
    <n v="49.4"/>
    <n v="48.19"/>
    <n v="4.2"/>
  </r>
  <r>
    <s v="EQ006"/>
    <x v="3"/>
    <x v="3"/>
    <x v="54"/>
    <x v="36"/>
    <n v="4.5"/>
    <n v="3.6"/>
    <x v="6"/>
    <x v="2"/>
    <x v="6"/>
    <x v="0"/>
    <n v="52.94"/>
    <n v="42.35"/>
    <n v="4"/>
  </r>
  <r>
    <s v="EQ010"/>
    <x v="1"/>
    <x v="1"/>
    <x v="26"/>
    <x v="33"/>
    <n v="3.7"/>
    <n v="1.5"/>
    <x v="6"/>
    <x v="2"/>
    <x v="5"/>
    <x v="2"/>
    <n v="61.67"/>
    <n v="25"/>
    <n v="2.2999999999999998"/>
  </r>
  <r>
    <s v="EQ008"/>
    <x v="11"/>
    <x v="6"/>
    <x v="55"/>
    <x v="32"/>
    <n v="3.6"/>
    <n v="4.7"/>
    <x v="4"/>
    <x v="2"/>
    <x v="5"/>
    <x v="0"/>
    <n v="41.86"/>
    <n v="54.65"/>
    <n v="5"/>
  </r>
  <r>
    <s v="EQ012"/>
    <x v="10"/>
    <x v="6"/>
    <x v="54"/>
    <x v="34"/>
    <n v="11.4"/>
    <n v="0"/>
    <x v="1"/>
    <x v="1"/>
    <x v="5"/>
    <x v="2"/>
    <n v="99.13"/>
    <n v="0"/>
    <n v="0.1"/>
  </r>
  <r>
    <s v="EQ002"/>
    <x v="6"/>
    <x v="5"/>
    <x v="35"/>
    <x v="37"/>
    <n v="4.5999999999999996"/>
    <n v="2.1"/>
    <x v="2"/>
    <x v="2"/>
    <x v="4"/>
    <x v="2"/>
    <n v="67.650000000000006"/>
    <n v="30.88"/>
    <n v="2.2000000000000002"/>
  </r>
  <r>
    <s v="EQ008"/>
    <x v="11"/>
    <x v="2"/>
    <x v="56"/>
    <x v="12"/>
    <n v="6.7"/>
    <n v="3.1"/>
    <x v="6"/>
    <x v="2"/>
    <x v="5"/>
    <x v="0"/>
    <n v="63.21"/>
    <n v="29.25"/>
    <n v="3.9"/>
  </r>
  <r>
    <s v="EQ005"/>
    <x v="9"/>
    <x v="4"/>
    <x v="57"/>
    <x v="38"/>
    <n v="7.5"/>
    <n v="1.2"/>
    <x v="7"/>
    <x v="2"/>
    <x v="1"/>
    <x v="2"/>
    <n v="85.23"/>
    <n v="13.64"/>
    <n v="1.3"/>
  </r>
  <r>
    <s v="EQ011"/>
    <x v="0"/>
    <x v="0"/>
    <x v="58"/>
    <x v="39"/>
    <n v="6.1"/>
    <n v="5.6"/>
    <x v="3"/>
    <x v="2"/>
    <x v="1"/>
    <x v="0"/>
    <n v="52.14"/>
    <n v="47.86"/>
    <n v="5.6"/>
  </r>
  <r>
    <s v="EQ003"/>
    <x v="4"/>
    <x v="1"/>
    <x v="38"/>
    <x v="40"/>
    <n v="6.5"/>
    <n v="0"/>
    <x v="1"/>
    <x v="1"/>
    <x v="3"/>
    <x v="2"/>
    <n v="97.01"/>
    <n v="0"/>
    <n v="0.2"/>
  </r>
  <r>
    <s v="EQ003"/>
    <x v="4"/>
    <x v="3"/>
    <x v="59"/>
    <x v="13"/>
    <n v="9.8000000000000007"/>
    <n v="1.2"/>
    <x v="3"/>
    <x v="2"/>
    <x v="3"/>
    <x v="2"/>
    <n v="83.05"/>
    <n v="10.17"/>
    <n v="2"/>
  </r>
  <r>
    <s v="EQ010"/>
    <x v="1"/>
    <x v="0"/>
    <x v="60"/>
    <x v="5"/>
    <n v="9"/>
    <n v="0.1"/>
    <x v="4"/>
    <x v="2"/>
    <x v="1"/>
    <x v="2"/>
    <n v="94.74"/>
    <n v="1.05"/>
    <n v="0.5"/>
  </r>
  <r>
    <s v="EQ010"/>
    <x v="1"/>
    <x v="5"/>
    <x v="61"/>
    <x v="41"/>
    <n v="6.1"/>
    <n v="1.1000000000000001"/>
    <x v="4"/>
    <x v="2"/>
    <x v="0"/>
    <x v="2"/>
    <n v="81.33"/>
    <n v="14.67"/>
    <n v="1.4"/>
  </r>
  <r>
    <s v="EQ006"/>
    <x v="3"/>
    <x v="3"/>
    <x v="35"/>
    <x v="20"/>
    <n v="4.4000000000000004"/>
    <n v="5"/>
    <x v="0"/>
    <x v="0"/>
    <x v="5"/>
    <x v="0"/>
    <n v="44"/>
    <n v="50"/>
    <n v="5.6"/>
  </r>
  <r>
    <s v="EQ008"/>
    <x v="11"/>
    <x v="0"/>
    <x v="46"/>
    <x v="13"/>
    <n v="9.1999999999999993"/>
    <n v="1.8"/>
    <x v="4"/>
    <x v="2"/>
    <x v="2"/>
    <x v="1"/>
    <n v="77.97"/>
    <n v="15.25"/>
    <n v="2.6"/>
  </r>
  <r>
    <s v="EQ003"/>
    <x v="4"/>
    <x v="5"/>
    <x v="62"/>
    <x v="13"/>
    <n v="6.6"/>
    <n v="4.4000000000000004"/>
    <x v="5"/>
    <x v="2"/>
    <x v="7"/>
    <x v="0"/>
    <n v="55.93"/>
    <n v="37.29"/>
    <n v="5.2"/>
  </r>
  <r>
    <s v="EQ008"/>
    <x v="11"/>
    <x v="1"/>
    <x v="63"/>
    <x v="8"/>
    <n v="6.9"/>
    <n v="0"/>
    <x v="1"/>
    <x v="1"/>
    <x v="0"/>
    <x v="2"/>
    <n v="90.79"/>
    <n v="0"/>
    <n v="0.7"/>
  </r>
  <r>
    <s v="EQ008"/>
    <x v="11"/>
    <x v="6"/>
    <x v="51"/>
    <x v="30"/>
    <n v="7.5"/>
    <n v="1.6"/>
    <x v="2"/>
    <x v="2"/>
    <x v="4"/>
    <x v="2"/>
    <n v="79.790000000000006"/>
    <n v="17.02"/>
    <n v="1.9"/>
  </r>
  <r>
    <s v="EQ008"/>
    <x v="11"/>
    <x v="6"/>
    <x v="64"/>
    <x v="4"/>
    <n v="6.5"/>
    <n v="3.4"/>
    <x v="4"/>
    <x v="2"/>
    <x v="3"/>
    <x v="0"/>
    <n v="60.19"/>
    <n v="31.48"/>
    <n v="4.3"/>
  </r>
  <r>
    <s v="EQ009"/>
    <x v="8"/>
    <x v="0"/>
    <x v="65"/>
    <x v="39"/>
    <n v="5.3"/>
    <n v="5.7"/>
    <x v="2"/>
    <x v="2"/>
    <x v="1"/>
    <x v="0"/>
    <n v="45.3"/>
    <n v="48.72"/>
    <n v="6.4"/>
  </r>
  <r>
    <s v="EQ012"/>
    <x v="10"/>
    <x v="1"/>
    <x v="20"/>
    <x v="19"/>
    <n v="6.9"/>
    <n v="3.4"/>
    <x v="7"/>
    <x v="2"/>
    <x v="1"/>
    <x v="0"/>
    <n v="66.989999999999995"/>
    <n v="33.01"/>
    <n v="3.4"/>
  </r>
  <r>
    <s v="EQ007"/>
    <x v="7"/>
    <x v="5"/>
    <x v="66"/>
    <x v="42"/>
    <n v="5.8"/>
    <n v="1.5"/>
    <x v="5"/>
    <x v="2"/>
    <x v="4"/>
    <x v="1"/>
    <n v="74.36"/>
    <n v="19.23"/>
    <n v="2"/>
  </r>
  <r>
    <s v="EQ012"/>
    <x v="10"/>
    <x v="3"/>
    <x v="67"/>
    <x v="43"/>
    <n v="5.4"/>
    <n v="2.4"/>
    <x v="3"/>
    <x v="2"/>
    <x v="0"/>
    <x v="2"/>
    <n v="66.67"/>
    <n v="29.63"/>
    <n v="2.7"/>
  </r>
  <r>
    <s v="EQ006"/>
    <x v="3"/>
    <x v="0"/>
    <x v="21"/>
    <x v="39"/>
    <n v="9.5"/>
    <n v="2"/>
    <x v="4"/>
    <x v="2"/>
    <x v="7"/>
    <x v="2"/>
    <n v="81.2"/>
    <n v="17.09"/>
    <n v="2.2000000000000002"/>
  </r>
  <r>
    <s v="EQ012"/>
    <x v="10"/>
    <x v="3"/>
    <x v="68"/>
    <x v="44"/>
    <n v="9.5"/>
    <n v="0"/>
    <x v="1"/>
    <x v="1"/>
    <x v="3"/>
    <x v="2"/>
    <n v="98.96"/>
    <n v="0"/>
    <n v="0.1"/>
  </r>
  <r>
    <s v="EQ006"/>
    <x v="3"/>
    <x v="6"/>
    <x v="69"/>
    <x v="45"/>
    <n v="4.4000000000000004"/>
    <n v="1.4"/>
    <x v="0"/>
    <x v="0"/>
    <x v="3"/>
    <x v="2"/>
    <n v="72.13"/>
    <n v="22.95"/>
    <n v="1.7"/>
  </r>
  <r>
    <s v="EQ011"/>
    <x v="0"/>
    <x v="4"/>
    <x v="70"/>
    <x v="21"/>
    <n v="2.7"/>
    <n v="3.6"/>
    <x v="2"/>
    <x v="2"/>
    <x v="7"/>
    <x v="0"/>
    <n v="40.909999999999997"/>
    <n v="54.55"/>
    <n v="3.9"/>
  </r>
  <r>
    <s v="EQ006"/>
    <x v="3"/>
    <x v="6"/>
    <x v="71"/>
    <x v="41"/>
    <n v="6.9"/>
    <n v="0.5"/>
    <x v="0"/>
    <x v="0"/>
    <x v="5"/>
    <x v="1"/>
    <n v="92"/>
    <n v="6.67"/>
    <n v="0.6"/>
  </r>
  <r>
    <s v="EQ002"/>
    <x v="6"/>
    <x v="3"/>
    <x v="72"/>
    <x v="24"/>
    <n v="5"/>
    <n v="4.3"/>
    <x v="7"/>
    <x v="2"/>
    <x v="0"/>
    <x v="0"/>
    <n v="49.5"/>
    <n v="42.57"/>
    <n v="5.0999999999999996"/>
  </r>
  <r>
    <s v="EQ004"/>
    <x v="2"/>
    <x v="0"/>
    <x v="73"/>
    <x v="12"/>
    <n v="8.1"/>
    <n v="1.7"/>
    <x v="3"/>
    <x v="2"/>
    <x v="5"/>
    <x v="1"/>
    <n v="76.42"/>
    <n v="16.04"/>
    <n v="2.5"/>
  </r>
  <r>
    <s v="EQ008"/>
    <x v="11"/>
    <x v="2"/>
    <x v="2"/>
    <x v="31"/>
    <n v="6.9"/>
    <n v="4.4000000000000004"/>
    <x v="5"/>
    <x v="2"/>
    <x v="0"/>
    <x v="0"/>
    <n v="57.98"/>
    <n v="36.97"/>
    <n v="5"/>
  </r>
  <r>
    <s v="EQ004"/>
    <x v="2"/>
    <x v="5"/>
    <x v="74"/>
    <x v="8"/>
    <n v="3.4"/>
    <n v="4"/>
    <x v="5"/>
    <x v="2"/>
    <x v="0"/>
    <x v="0"/>
    <n v="44.74"/>
    <n v="52.63"/>
    <n v="4.2"/>
  </r>
  <r>
    <s v="EQ003"/>
    <x v="4"/>
    <x v="0"/>
    <x v="75"/>
    <x v="22"/>
    <n v="6.6"/>
    <n v="1.8"/>
    <x v="3"/>
    <x v="2"/>
    <x v="3"/>
    <x v="2"/>
    <n v="75.86"/>
    <n v="20.69"/>
    <n v="2.1"/>
  </r>
  <r>
    <s v="EQ012"/>
    <x v="10"/>
    <x v="4"/>
    <x v="24"/>
    <x v="46"/>
    <n v="3.5"/>
    <n v="2.6"/>
    <x v="6"/>
    <x v="2"/>
    <x v="1"/>
    <x v="1"/>
    <n v="54.69"/>
    <n v="40.619999999999997"/>
    <n v="2.9"/>
  </r>
  <r>
    <s v="EQ002"/>
    <x v="6"/>
    <x v="3"/>
    <x v="76"/>
    <x v="23"/>
    <n v="9.4"/>
    <n v="0"/>
    <x v="1"/>
    <x v="1"/>
    <x v="0"/>
    <x v="2"/>
    <n v="94.95"/>
    <n v="0"/>
    <n v="0.5"/>
  </r>
  <r>
    <s v="EQ003"/>
    <x v="4"/>
    <x v="4"/>
    <x v="77"/>
    <x v="44"/>
    <n v="8.6"/>
    <n v="0.1"/>
    <x v="2"/>
    <x v="2"/>
    <x v="0"/>
    <x v="1"/>
    <n v="89.58"/>
    <n v="1.04"/>
    <n v="1"/>
  </r>
  <r>
    <s v="EQ012"/>
    <x v="10"/>
    <x v="2"/>
    <x v="78"/>
    <x v="9"/>
    <n v="4.7"/>
    <n v="3.2"/>
    <x v="2"/>
    <x v="2"/>
    <x v="0"/>
    <x v="0"/>
    <n v="55.95"/>
    <n v="38.1"/>
    <n v="3.7"/>
  </r>
  <r>
    <s v="EQ010"/>
    <x v="1"/>
    <x v="0"/>
    <x v="46"/>
    <x v="0"/>
    <n v="7.9"/>
    <n v="2.5"/>
    <x v="3"/>
    <x v="2"/>
    <x v="6"/>
    <x v="2"/>
    <n v="75.959999999999994"/>
    <n v="24.04"/>
    <n v="2.5"/>
  </r>
  <r>
    <s v="EQ010"/>
    <x v="1"/>
    <x v="0"/>
    <x v="45"/>
    <x v="38"/>
    <n v="7"/>
    <n v="0.9"/>
    <x v="3"/>
    <x v="2"/>
    <x v="5"/>
    <x v="1"/>
    <n v="79.55"/>
    <n v="10.23"/>
    <n v="1.8"/>
  </r>
  <r>
    <s v="EQ002"/>
    <x v="6"/>
    <x v="1"/>
    <x v="79"/>
    <x v="36"/>
    <n v="5"/>
    <n v="3.4"/>
    <x v="3"/>
    <x v="2"/>
    <x v="4"/>
    <x v="0"/>
    <n v="58.82"/>
    <n v="40"/>
    <n v="3.5"/>
  </r>
  <r>
    <s v="EQ007"/>
    <x v="7"/>
    <x v="5"/>
    <x v="80"/>
    <x v="2"/>
    <n v="7.4"/>
    <n v="0"/>
    <x v="1"/>
    <x v="1"/>
    <x v="6"/>
    <x v="1"/>
    <n v="96.1"/>
    <n v="0"/>
    <n v="0.3"/>
  </r>
  <r>
    <s v="EQ002"/>
    <x v="6"/>
    <x v="2"/>
    <x v="81"/>
    <x v="47"/>
    <n v="7.8"/>
    <n v="0"/>
    <x v="1"/>
    <x v="1"/>
    <x v="6"/>
    <x v="1"/>
    <n v="98.73"/>
    <n v="0"/>
    <n v="0.1"/>
  </r>
  <r>
    <s v="EQ007"/>
    <x v="7"/>
    <x v="0"/>
    <x v="82"/>
    <x v="48"/>
    <n v="7"/>
    <n v="1.6"/>
    <x v="2"/>
    <x v="2"/>
    <x v="6"/>
    <x v="2"/>
    <n v="76.92"/>
    <n v="17.579999999999998"/>
    <n v="2.1"/>
  </r>
  <r>
    <s v="EQ005"/>
    <x v="9"/>
    <x v="3"/>
    <x v="18"/>
    <x v="49"/>
    <n v="7.7"/>
    <n v="3.2"/>
    <x v="0"/>
    <x v="0"/>
    <x v="6"/>
    <x v="0"/>
    <n v="66.38"/>
    <n v="27.59"/>
    <n v="3.9"/>
  </r>
  <r>
    <s v="EQ011"/>
    <x v="0"/>
    <x v="3"/>
    <x v="83"/>
    <x v="19"/>
    <n v="6"/>
    <n v="4.3"/>
    <x v="2"/>
    <x v="2"/>
    <x v="0"/>
    <x v="0"/>
    <n v="58.25"/>
    <n v="41.75"/>
    <n v="4.3"/>
  </r>
  <r>
    <s v="EQ004"/>
    <x v="2"/>
    <x v="4"/>
    <x v="84"/>
    <x v="38"/>
    <n v="4.0999999999999996"/>
    <n v="3.9"/>
    <x v="2"/>
    <x v="2"/>
    <x v="3"/>
    <x v="0"/>
    <n v="46.59"/>
    <n v="44.32"/>
    <n v="4.7"/>
  </r>
  <r>
    <s v="EQ009"/>
    <x v="8"/>
    <x v="5"/>
    <x v="55"/>
    <x v="36"/>
    <n v="5.9"/>
    <n v="2.1"/>
    <x v="2"/>
    <x v="2"/>
    <x v="2"/>
    <x v="1"/>
    <n v="69.41"/>
    <n v="24.71"/>
    <n v="2.6"/>
  </r>
  <r>
    <s v="EQ004"/>
    <x v="2"/>
    <x v="3"/>
    <x v="11"/>
    <x v="27"/>
    <n v="5.0999999999999996"/>
    <n v="5.3"/>
    <x v="6"/>
    <x v="2"/>
    <x v="5"/>
    <x v="0"/>
    <n v="48.57"/>
    <n v="50.48"/>
    <n v="5.4"/>
  </r>
  <r>
    <s v="EQ006"/>
    <x v="3"/>
    <x v="4"/>
    <x v="85"/>
    <x v="8"/>
    <n v="3.1"/>
    <n v="3.8"/>
    <x v="6"/>
    <x v="2"/>
    <x v="7"/>
    <x v="0"/>
    <n v="40.79"/>
    <n v="50"/>
    <n v="4.5"/>
  </r>
  <r>
    <s v="EQ003"/>
    <x v="4"/>
    <x v="1"/>
    <x v="21"/>
    <x v="50"/>
    <n v="5.3"/>
    <n v="2.8"/>
    <x v="2"/>
    <x v="2"/>
    <x v="7"/>
    <x v="2"/>
    <n v="59.55"/>
    <n v="31.46"/>
    <n v="3.6"/>
  </r>
  <r>
    <s v="EQ004"/>
    <x v="2"/>
    <x v="5"/>
    <x v="83"/>
    <x v="30"/>
    <n v="5.0999999999999996"/>
    <n v="3.5"/>
    <x v="0"/>
    <x v="0"/>
    <x v="4"/>
    <x v="0"/>
    <n v="54.26"/>
    <n v="37.229999999999997"/>
    <n v="4.3"/>
  </r>
  <r>
    <s v="EQ012"/>
    <x v="10"/>
    <x v="1"/>
    <x v="86"/>
    <x v="34"/>
    <n v="7.2"/>
    <n v="3.3"/>
    <x v="6"/>
    <x v="2"/>
    <x v="2"/>
    <x v="0"/>
    <n v="62.61"/>
    <n v="28.7"/>
    <n v="4.3"/>
  </r>
  <r>
    <s v="EQ008"/>
    <x v="11"/>
    <x v="0"/>
    <x v="87"/>
    <x v="11"/>
    <n v="6.8"/>
    <n v="1.3"/>
    <x v="6"/>
    <x v="2"/>
    <x v="7"/>
    <x v="2"/>
    <n v="75.56"/>
    <n v="14.44"/>
    <n v="2.2000000000000002"/>
  </r>
  <r>
    <s v="EQ009"/>
    <x v="8"/>
    <x v="1"/>
    <x v="88"/>
    <x v="19"/>
    <n v="6.7"/>
    <n v="2.9"/>
    <x v="3"/>
    <x v="2"/>
    <x v="0"/>
    <x v="1"/>
    <n v="65.05"/>
    <n v="28.16"/>
    <n v="3.6"/>
  </r>
  <r>
    <s v="EQ005"/>
    <x v="9"/>
    <x v="2"/>
    <x v="89"/>
    <x v="7"/>
    <n v="8.1"/>
    <n v="1.2"/>
    <x v="6"/>
    <x v="2"/>
    <x v="5"/>
    <x v="2"/>
    <n v="79.41"/>
    <n v="11.76"/>
    <n v="2.1"/>
  </r>
  <r>
    <s v="EQ011"/>
    <x v="0"/>
    <x v="5"/>
    <x v="14"/>
    <x v="18"/>
    <n v="4.7"/>
    <n v="6.4"/>
    <x v="4"/>
    <x v="2"/>
    <x v="3"/>
    <x v="0"/>
    <n v="41.96"/>
    <n v="57.14"/>
    <n v="6.5"/>
  </r>
  <r>
    <s v="EQ004"/>
    <x v="2"/>
    <x v="5"/>
    <x v="90"/>
    <x v="32"/>
    <n v="3.9"/>
    <n v="4.0999999999999996"/>
    <x v="6"/>
    <x v="2"/>
    <x v="0"/>
    <x v="0"/>
    <n v="45.35"/>
    <n v="47.67"/>
    <n v="4.7"/>
  </r>
  <r>
    <s v="EQ008"/>
    <x v="11"/>
    <x v="6"/>
    <x v="91"/>
    <x v="42"/>
    <n v="3.3"/>
    <n v="4.2"/>
    <x v="0"/>
    <x v="0"/>
    <x v="3"/>
    <x v="0"/>
    <n v="42.31"/>
    <n v="53.85"/>
    <n v="4.5"/>
  </r>
  <r>
    <s v="EQ006"/>
    <x v="3"/>
    <x v="2"/>
    <x v="46"/>
    <x v="51"/>
    <n v="5"/>
    <n v="1.3"/>
    <x v="6"/>
    <x v="2"/>
    <x v="2"/>
    <x v="2"/>
    <n v="72.459999999999994"/>
    <n v="18.84"/>
    <n v="1.9"/>
  </r>
  <r>
    <s v="EQ003"/>
    <x v="4"/>
    <x v="0"/>
    <x v="49"/>
    <x v="18"/>
    <n v="8.6"/>
    <n v="2.4"/>
    <x v="5"/>
    <x v="2"/>
    <x v="2"/>
    <x v="2"/>
    <n v="76.790000000000006"/>
    <n v="21.43"/>
    <n v="2.6"/>
  </r>
  <r>
    <s v="EQ008"/>
    <x v="11"/>
    <x v="5"/>
    <x v="92"/>
    <x v="38"/>
    <n v="7"/>
    <n v="0.9"/>
    <x v="2"/>
    <x v="2"/>
    <x v="3"/>
    <x v="2"/>
    <n v="79.55"/>
    <n v="10.23"/>
    <n v="1.8"/>
  </r>
  <r>
    <s v="EQ002"/>
    <x v="6"/>
    <x v="1"/>
    <x v="93"/>
    <x v="31"/>
    <n v="6.9"/>
    <n v="4"/>
    <x v="4"/>
    <x v="2"/>
    <x v="3"/>
    <x v="0"/>
    <n v="57.98"/>
    <n v="33.61"/>
    <n v="5"/>
  </r>
  <r>
    <s v="EQ008"/>
    <x v="11"/>
    <x v="4"/>
    <x v="69"/>
    <x v="52"/>
    <n v="4.5"/>
    <n v="2.2000000000000002"/>
    <x v="3"/>
    <x v="2"/>
    <x v="5"/>
    <x v="2"/>
    <n v="62.5"/>
    <n v="30.56"/>
    <n v="2.7"/>
  </r>
  <r>
    <s v="EQ010"/>
    <x v="1"/>
    <x v="2"/>
    <x v="78"/>
    <x v="42"/>
    <n v="7.7"/>
    <n v="0"/>
    <x v="1"/>
    <x v="1"/>
    <x v="3"/>
    <x v="2"/>
    <n v="98.72"/>
    <n v="0"/>
    <n v="0.1"/>
  </r>
  <r>
    <s v="EQ010"/>
    <x v="1"/>
    <x v="4"/>
    <x v="94"/>
    <x v="35"/>
    <n v="10.5"/>
    <n v="0"/>
    <x v="1"/>
    <x v="1"/>
    <x v="7"/>
    <x v="2"/>
    <n v="98.13"/>
    <n v="0"/>
    <n v="0.2"/>
  </r>
  <r>
    <s v="EQ004"/>
    <x v="2"/>
    <x v="3"/>
    <x v="64"/>
    <x v="3"/>
    <n v="3.8"/>
    <n v="3.2"/>
    <x v="6"/>
    <x v="2"/>
    <x v="2"/>
    <x v="0"/>
    <n v="52.05"/>
    <n v="43.84"/>
    <n v="3.5"/>
  </r>
  <r>
    <s v="EQ011"/>
    <x v="0"/>
    <x v="0"/>
    <x v="61"/>
    <x v="23"/>
    <n v="5.8"/>
    <n v="3.7"/>
    <x v="5"/>
    <x v="2"/>
    <x v="4"/>
    <x v="0"/>
    <n v="58.59"/>
    <n v="37.369999999999997"/>
    <n v="4.0999999999999996"/>
  </r>
  <r>
    <s v="EQ012"/>
    <x v="10"/>
    <x v="6"/>
    <x v="90"/>
    <x v="34"/>
    <n v="6.9"/>
    <n v="4.2"/>
    <x v="3"/>
    <x v="2"/>
    <x v="2"/>
    <x v="0"/>
    <n v="60"/>
    <n v="36.520000000000003"/>
    <n v="4.5999999999999996"/>
  </r>
  <r>
    <s v="EQ009"/>
    <x v="8"/>
    <x v="2"/>
    <x v="95"/>
    <x v="11"/>
    <n v="5.0999999999999996"/>
    <n v="3.7"/>
    <x v="6"/>
    <x v="2"/>
    <x v="7"/>
    <x v="0"/>
    <n v="56.67"/>
    <n v="41.11"/>
    <n v="3.9"/>
  </r>
  <r>
    <s v="EQ005"/>
    <x v="9"/>
    <x v="5"/>
    <x v="56"/>
    <x v="4"/>
    <n v="7.4"/>
    <n v="3.3"/>
    <x v="6"/>
    <x v="2"/>
    <x v="1"/>
    <x v="0"/>
    <n v="68.52"/>
    <n v="30.56"/>
    <n v="3.4"/>
  </r>
  <r>
    <s v="EQ011"/>
    <x v="0"/>
    <x v="5"/>
    <x v="96"/>
    <x v="31"/>
    <n v="11.7"/>
    <n v="0"/>
    <x v="1"/>
    <x v="1"/>
    <x v="4"/>
    <x v="2"/>
    <n v="98.32"/>
    <n v="0"/>
    <n v="0.2"/>
  </r>
  <r>
    <s v="EQ007"/>
    <x v="7"/>
    <x v="0"/>
    <x v="4"/>
    <x v="10"/>
    <n v="6.2"/>
    <n v="2.2999999999999998"/>
    <x v="4"/>
    <x v="2"/>
    <x v="3"/>
    <x v="1"/>
    <n v="67.39"/>
    <n v="25"/>
    <n v="3"/>
  </r>
  <r>
    <s v="EQ011"/>
    <x v="0"/>
    <x v="2"/>
    <x v="32"/>
    <x v="20"/>
    <n v="6.8"/>
    <n v="2.6"/>
    <x v="5"/>
    <x v="2"/>
    <x v="4"/>
    <x v="2"/>
    <n v="68"/>
    <n v="26"/>
    <n v="3.2"/>
  </r>
  <r>
    <s v="EQ011"/>
    <x v="0"/>
    <x v="0"/>
    <x v="33"/>
    <x v="15"/>
    <n v="10.3"/>
    <n v="0.3"/>
    <x v="2"/>
    <x v="2"/>
    <x v="0"/>
    <x v="2"/>
    <n v="94.5"/>
    <n v="2.75"/>
    <n v="0.6"/>
  </r>
  <r>
    <s v="EQ001"/>
    <x v="5"/>
    <x v="0"/>
    <x v="69"/>
    <x v="53"/>
    <n v="5.6"/>
    <n v="6.2"/>
    <x v="5"/>
    <x v="2"/>
    <x v="2"/>
    <x v="0"/>
    <n v="46.67"/>
    <n v="51.67"/>
    <n v="6.4"/>
  </r>
  <r>
    <s v="EQ007"/>
    <x v="7"/>
    <x v="1"/>
    <x v="36"/>
    <x v="20"/>
    <n v="8.5"/>
    <n v="0.6"/>
    <x v="2"/>
    <x v="2"/>
    <x v="2"/>
    <x v="1"/>
    <n v="85"/>
    <n v="6"/>
    <n v="1.5"/>
  </r>
  <r>
    <s v="EQ011"/>
    <x v="0"/>
    <x v="0"/>
    <x v="70"/>
    <x v="25"/>
    <n v="9.3000000000000007"/>
    <n v="0.1"/>
    <x v="4"/>
    <x v="2"/>
    <x v="4"/>
    <x v="2"/>
    <n v="95.88"/>
    <n v="1.03"/>
    <n v="0.4"/>
  </r>
  <r>
    <s v="EQ008"/>
    <x v="11"/>
    <x v="1"/>
    <x v="48"/>
    <x v="28"/>
    <n v="5.0999999999999996"/>
    <n v="5.3"/>
    <x v="5"/>
    <x v="2"/>
    <x v="4"/>
    <x v="0"/>
    <n v="45.95"/>
    <n v="47.75"/>
    <n v="6"/>
  </r>
  <r>
    <s v="EQ001"/>
    <x v="5"/>
    <x v="1"/>
    <x v="34"/>
    <x v="54"/>
    <n v="3.4"/>
    <n v="2.9"/>
    <x v="2"/>
    <x v="2"/>
    <x v="0"/>
    <x v="2"/>
    <n v="47.89"/>
    <n v="40.85"/>
    <n v="3.7"/>
  </r>
  <r>
    <s v="EQ011"/>
    <x v="0"/>
    <x v="5"/>
    <x v="97"/>
    <x v="13"/>
    <n v="5.0999999999999996"/>
    <n v="6.4"/>
    <x v="3"/>
    <x v="2"/>
    <x v="1"/>
    <x v="0"/>
    <n v="43.22"/>
    <n v="54.24"/>
    <n v="6.7"/>
  </r>
  <r>
    <s v="EQ002"/>
    <x v="6"/>
    <x v="4"/>
    <x v="98"/>
    <x v="52"/>
    <n v="3.8"/>
    <n v="2.5"/>
    <x v="7"/>
    <x v="2"/>
    <x v="2"/>
    <x v="2"/>
    <n v="52.78"/>
    <n v="34.72"/>
    <n v="3.4"/>
  </r>
  <r>
    <s v="EQ005"/>
    <x v="9"/>
    <x v="4"/>
    <x v="99"/>
    <x v="31"/>
    <n v="8.6"/>
    <n v="2.5"/>
    <x v="0"/>
    <x v="0"/>
    <x v="6"/>
    <x v="2"/>
    <n v="72.27"/>
    <n v="21.01"/>
    <n v="3.3"/>
  </r>
  <r>
    <s v="EQ001"/>
    <x v="5"/>
    <x v="2"/>
    <x v="48"/>
    <x v="5"/>
    <n v="3.9"/>
    <n v="5.3"/>
    <x v="3"/>
    <x v="2"/>
    <x v="5"/>
    <x v="0"/>
    <n v="41.05"/>
    <n v="55.79"/>
    <n v="5.6"/>
  </r>
  <r>
    <s v="EQ009"/>
    <x v="8"/>
    <x v="0"/>
    <x v="100"/>
    <x v="50"/>
    <n v="7.7"/>
    <n v="0.7"/>
    <x v="0"/>
    <x v="0"/>
    <x v="7"/>
    <x v="2"/>
    <n v="86.52"/>
    <n v="7.87"/>
    <n v="1.2"/>
  </r>
  <r>
    <s v="EQ010"/>
    <x v="1"/>
    <x v="0"/>
    <x v="101"/>
    <x v="48"/>
    <n v="6.1"/>
    <n v="2"/>
    <x v="0"/>
    <x v="0"/>
    <x v="7"/>
    <x v="1"/>
    <n v="67.03"/>
    <n v="21.98"/>
    <n v="3"/>
  </r>
  <r>
    <s v="EQ007"/>
    <x v="7"/>
    <x v="5"/>
    <x v="32"/>
    <x v="50"/>
    <n v="8.4"/>
    <n v="0.4"/>
    <x v="0"/>
    <x v="0"/>
    <x v="4"/>
    <x v="2"/>
    <n v="94.38"/>
    <n v="4.49"/>
    <n v="0.5"/>
  </r>
  <r>
    <s v="EQ002"/>
    <x v="6"/>
    <x v="6"/>
    <x v="34"/>
    <x v="25"/>
    <n v="7.3"/>
    <n v="1.7"/>
    <x v="2"/>
    <x v="2"/>
    <x v="3"/>
    <x v="1"/>
    <n v="75.260000000000005"/>
    <n v="17.53"/>
    <n v="2.4"/>
  </r>
  <r>
    <s v="EQ009"/>
    <x v="8"/>
    <x v="3"/>
    <x v="46"/>
    <x v="21"/>
    <n v="5.4"/>
    <n v="0.3"/>
    <x v="4"/>
    <x v="2"/>
    <x v="1"/>
    <x v="1"/>
    <n v="81.819999999999993"/>
    <n v="4.55"/>
    <n v="1.2"/>
  </r>
  <r>
    <s v="EQ008"/>
    <x v="11"/>
    <x v="6"/>
    <x v="102"/>
    <x v="55"/>
    <n v="5.4"/>
    <n v="2.2000000000000002"/>
    <x v="0"/>
    <x v="0"/>
    <x v="4"/>
    <x v="1"/>
    <n v="67.5"/>
    <n v="27.5"/>
    <n v="2.6"/>
  </r>
  <r>
    <s v="EQ006"/>
    <x v="3"/>
    <x v="5"/>
    <x v="92"/>
    <x v="17"/>
    <n v="4"/>
    <n v="3.3"/>
    <x v="0"/>
    <x v="0"/>
    <x v="0"/>
    <x v="0"/>
    <n v="48.78"/>
    <n v="40.24"/>
    <n v="4.2"/>
  </r>
  <r>
    <s v="EQ002"/>
    <x v="6"/>
    <x v="0"/>
    <x v="46"/>
    <x v="21"/>
    <n v="5.6"/>
    <n v="0.2"/>
    <x v="5"/>
    <x v="2"/>
    <x v="6"/>
    <x v="2"/>
    <n v="84.85"/>
    <n v="3.03"/>
    <n v="1"/>
  </r>
  <r>
    <s v="EQ011"/>
    <x v="0"/>
    <x v="0"/>
    <x v="102"/>
    <x v="43"/>
    <n v="6.5"/>
    <n v="0.8"/>
    <x v="6"/>
    <x v="2"/>
    <x v="6"/>
    <x v="2"/>
    <n v="80.25"/>
    <n v="9.8800000000000008"/>
    <n v="1.6"/>
  </r>
  <r>
    <s v="EQ010"/>
    <x v="1"/>
    <x v="2"/>
    <x v="64"/>
    <x v="21"/>
    <n v="4.5999999999999996"/>
    <n v="1.8"/>
    <x v="2"/>
    <x v="2"/>
    <x v="1"/>
    <x v="2"/>
    <n v="69.7"/>
    <n v="27.27"/>
    <n v="2"/>
  </r>
  <r>
    <s v="EQ006"/>
    <x v="3"/>
    <x v="4"/>
    <x v="73"/>
    <x v="17"/>
    <n v="7"/>
    <n v="0.6"/>
    <x v="6"/>
    <x v="2"/>
    <x v="5"/>
    <x v="2"/>
    <n v="85.37"/>
    <n v="7.32"/>
    <n v="1.2"/>
  </r>
  <r>
    <s v="EQ010"/>
    <x v="1"/>
    <x v="5"/>
    <x v="91"/>
    <x v="8"/>
    <n v="3.9"/>
    <n v="3"/>
    <x v="7"/>
    <x v="2"/>
    <x v="4"/>
    <x v="2"/>
    <n v="51.32"/>
    <n v="39.47"/>
    <n v="3.7"/>
  </r>
  <r>
    <s v="EQ001"/>
    <x v="5"/>
    <x v="6"/>
    <x v="103"/>
    <x v="30"/>
    <n v="6"/>
    <n v="3.3"/>
    <x v="4"/>
    <x v="2"/>
    <x v="6"/>
    <x v="0"/>
    <n v="63.83"/>
    <n v="35.11"/>
    <n v="3.4"/>
  </r>
  <r>
    <s v="EQ002"/>
    <x v="6"/>
    <x v="5"/>
    <x v="95"/>
    <x v="3"/>
    <n v="4.8"/>
    <n v="2.2000000000000002"/>
    <x v="7"/>
    <x v="2"/>
    <x v="3"/>
    <x v="2"/>
    <n v="65.75"/>
    <n v="30.14"/>
    <n v="2.5"/>
  </r>
  <r>
    <s v="EQ010"/>
    <x v="1"/>
    <x v="3"/>
    <x v="104"/>
    <x v="14"/>
    <n v="5.6"/>
    <n v="4.9000000000000004"/>
    <x v="0"/>
    <x v="0"/>
    <x v="0"/>
    <x v="0"/>
    <n v="49.56"/>
    <n v="43.36"/>
    <n v="5.7"/>
  </r>
  <r>
    <s v="EQ005"/>
    <x v="9"/>
    <x v="1"/>
    <x v="105"/>
    <x v="36"/>
    <n v="6.5"/>
    <n v="1.6"/>
    <x v="3"/>
    <x v="2"/>
    <x v="0"/>
    <x v="2"/>
    <n v="76.47"/>
    <n v="18.82"/>
    <n v="2"/>
  </r>
  <r>
    <s v="EQ007"/>
    <x v="7"/>
    <x v="0"/>
    <x v="106"/>
    <x v="24"/>
    <n v="7.6"/>
    <n v="2"/>
    <x v="7"/>
    <x v="2"/>
    <x v="6"/>
    <x v="2"/>
    <n v="75.25"/>
    <n v="19.8"/>
    <n v="2.5"/>
  </r>
  <r>
    <s v="EQ007"/>
    <x v="7"/>
    <x v="3"/>
    <x v="107"/>
    <x v="33"/>
    <n v="3.5"/>
    <n v="2.2999999999999998"/>
    <x v="3"/>
    <x v="2"/>
    <x v="3"/>
    <x v="2"/>
    <n v="58.33"/>
    <n v="38.33"/>
    <n v="2.5"/>
  </r>
  <r>
    <s v="EQ006"/>
    <x v="3"/>
    <x v="0"/>
    <x v="108"/>
    <x v="11"/>
    <n v="5.9"/>
    <n v="3"/>
    <x v="5"/>
    <x v="2"/>
    <x v="1"/>
    <x v="2"/>
    <n v="65.56"/>
    <n v="33.33"/>
    <n v="3.1"/>
  </r>
  <r>
    <s v="EQ002"/>
    <x v="6"/>
    <x v="1"/>
    <x v="28"/>
    <x v="32"/>
    <n v="5.8"/>
    <n v="2.7"/>
    <x v="7"/>
    <x v="2"/>
    <x v="5"/>
    <x v="1"/>
    <n v="67.44"/>
    <n v="31.4"/>
    <n v="2.8"/>
  </r>
  <r>
    <s v="EQ012"/>
    <x v="10"/>
    <x v="5"/>
    <x v="109"/>
    <x v="2"/>
    <n v="5"/>
    <n v="1.7"/>
    <x v="3"/>
    <x v="2"/>
    <x v="7"/>
    <x v="2"/>
    <n v="64.94"/>
    <n v="22.08"/>
    <n v="2.7"/>
  </r>
  <r>
    <s v="EQ002"/>
    <x v="6"/>
    <x v="1"/>
    <x v="32"/>
    <x v="41"/>
    <n v="5.6"/>
    <n v="1.4"/>
    <x v="2"/>
    <x v="2"/>
    <x v="3"/>
    <x v="2"/>
    <n v="74.67"/>
    <n v="18.670000000000002"/>
    <n v="1.9"/>
  </r>
  <r>
    <s v="EQ004"/>
    <x v="2"/>
    <x v="2"/>
    <x v="47"/>
    <x v="56"/>
    <n v="5.0999999999999996"/>
    <n v="0.9"/>
    <x v="3"/>
    <x v="2"/>
    <x v="4"/>
    <x v="2"/>
    <n v="78.459999999999994"/>
    <n v="13.85"/>
    <n v="1.4"/>
  </r>
  <r>
    <s v="EQ012"/>
    <x v="10"/>
    <x v="4"/>
    <x v="20"/>
    <x v="15"/>
    <n v="5.9"/>
    <n v="4.9000000000000004"/>
    <x v="3"/>
    <x v="2"/>
    <x v="2"/>
    <x v="0"/>
    <n v="54.13"/>
    <n v="44.95"/>
    <n v="5"/>
  </r>
  <r>
    <s v="EQ010"/>
    <x v="1"/>
    <x v="6"/>
    <x v="31"/>
    <x v="56"/>
    <n v="6.3"/>
    <n v="0"/>
    <x v="1"/>
    <x v="1"/>
    <x v="7"/>
    <x v="1"/>
    <n v="96.92"/>
    <n v="0"/>
    <n v="0.2"/>
  </r>
  <r>
    <s v="EQ011"/>
    <x v="0"/>
    <x v="3"/>
    <x v="110"/>
    <x v="57"/>
    <n v="7.6"/>
    <n v="1.3"/>
    <x v="4"/>
    <x v="2"/>
    <x v="4"/>
    <x v="2"/>
    <n v="77.55"/>
    <n v="13.27"/>
    <n v="2.2000000000000002"/>
  </r>
  <r>
    <s v="EQ008"/>
    <x v="11"/>
    <x v="0"/>
    <x v="39"/>
    <x v="22"/>
    <n v="5.0999999999999996"/>
    <n v="3.3"/>
    <x v="0"/>
    <x v="0"/>
    <x v="4"/>
    <x v="0"/>
    <n v="58.62"/>
    <n v="37.93"/>
    <n v="3.6"/>
  </r>
  <r>
    <s v="EQ009"/>
    <x v="8"/>
    <x v="0"/>
    <x v="60"/>
    <x v="38"/>
    <n v="3.7"/>
    <n v="4.7"/>
    <x v="7"/>
    <x v="2"/>
    <x v="0"/>
    <x v="0"/>
    <n v="42.05"/>
    <n v="53.41"/>
    <n v="5.0999999999999996"/>
  </r>
  <r>
    <s v="EQ011"/>
    <x v="0"/>
    <x v="4"/>
    <x v="90"/>
    <x v="25"/>
    <n v="6.8"/>
    <n v="2.4"/>
    <x v="5"/>
    <x v="2"/>
    <x v="6"/>
    <x v="1"/>
    <n v="70.099999999999994"/>
    <n v="24.74"/>
    <n v="2.9"/>
  </r>
  <r>
    <s v="EQ010"/>
    <x v="1"/>
    <x v="5"/>
    <x v="82"/>
    <x v="47"/>
    <n v="5.4"/>
    <n v="2.2999999999999998"/>
    <x v="0"/>
    <x v="0"/>
    <x v="7"/>
    <x v="2"/>
    <n v="68.349999999999994"/>
    <n v="29.11"/>
    <n v="2.5"/>
  </r>
  <r>
    <s v="EQ006"/>
    <x v="3"/>
    <x v="5"/>
    <x v="104"/>
    <x v="11"/>
    <n v="4.5"/>
    <n v="4.3"/>
    <x v="2"/>
    <x v="2"/>
    <x v="7"/>
    <x v="0"/>
    <n v="50"/>
    <n v="47.78"/>
    <n v="4.5"/>
  </r>
  <r>
    <s v="EQ009"/>
    <x v="8"/>
    <x v="3"/>
    <x v="49"/>
    <x v="16"/>
    <n v="4.4000000000000004"/>
    <n v="2.2999999999999998"/>
    <x v="2"/>
    <x v="2"/>
    <x v="4"/>
    <x v="2"/>
    <n v="62.86"/>
    <n v="32.86"/>
    <n v="2.6"/>
  </r>
  <r>
    <s v="EQ011"/>
    <x v="0"/>
    <x v="5"/>
    <x v="111"/>
    <x v="46"/>
    <n v="2.9"/>
    <n v="2.8"/>
    <x v="7"/>
    <x v="2"/>
    <x v="3"/>
    <x v="2"/>
    <n v="45.31"/>
    <n v="43.75"/>
    <n v="3.5"/>
  </r>
  <r>
    <s v="EQ006"/>
    <x v="3"/>
    <x v="0"/>
    <x v="112"/>
    <x v="20"/>
    <n v="9.5"/>
    <n v="0.2"/>
    <x v="4"/>
    <x v="2"/>
    <x v="5"/>
    <x v="2"/>
    <n v="95"/>
    <n v="2"/>
    <n v="0.5"/>
  </r>
  <r>
    <s v="EQ010"/>
    <x v="1"/>
    <x v="5"/>
    <x v="104"/>
    <x v="47"/>
    <n v="4.9000000000000004"/>
    <n v="2.2000000000000002"/>
    <x v="6"/>
    <x v="2"/>
    <x v="2"/>
    <x v="2"/>
    <n v="62.03"/>
    <n v="27.85"/>
    <n v="3"/>
  </r>
  <r>
    <s v="EQ011"/>
    <x v="0"/>
    <x v="5"/>
    <x v="113"/>
    <x v="48"/>
    <n v="3.7"/>
    <n v="5.0999999999999996"/>
    <x v="3"/>
    <x v="2"/>
    <x v="4"/>
    <x v="0"/>
    <n v="40.659999999999997"/>
    <n v="56.04"/>
    <n v="5.4"/>
  </r>
  <r>
    <s v="EQ008"/>
    <x v="11"/>
    <x v="6"/>
    <x v="76"/>
    <x v="53"/>
    <n v="5.9"/>
    <n v="5.8"/>
    <x v="6"/>
    <x v="2"/>
    <x v="0"/>
    <x v="0"/>
    <n v="49.17"/>
    <n v="48.33"/>
    <n v="6.1"/>
  </r>
  <r>
    <s v="EQ009"/>
    <x v="8"/>
    <x v="4"/>
    <x v="114"/>
    <x v="58"/>
    <n v="10.199999999999999"/>
    <n v="0.8"/>
    <x v="7"/>
    <x v="2"/>
    <x v="2"/>
    <x v="1"/>
    <n v="92.73"/>
    <n v="7.27"/>
    <n v="0.8"/>
  </r>
  <r>
    <s v="EQ003"/>
    <x v="4"/>
    <x v="6"/>
    <x v="115"/>
    <x v="58"/>
    <n v="9.5"/>
    <n v="0.7"/>
    <x v="3"/>
    <x v="2"/>
    <x v="7"/>
    <x v="2"/>
    <n v="86.36"/>
    <n v="6.36"/>
    <n v="1.5"/>
  </r>
  <r>
    <s v="EQ007"/>
    <x v="7"/>
    <x v="2"/>
    <x v="116"/>
    <x v="19"/>
    <n v="10.1"/>
    <n v="0"/>
    <x v="1"/>
    <x v="1"/>
    <x v="7"/>
    <x v="2"/>
    <n v="98.06"/>
    <n v="0"/>
    <n v="0.2"/>
  </r>
  <r>
    <s v="EQ009"/>
    <x v="8"/>
    <x v="6"/>
    <x v="60"/>
    <x v="13"/>
    <n v="10.3"/>
    <n v="0.6"/>
    <x v="3"/>
    <x v="2"/>
    <x v="4"/>
    <x v="1"/>
    <n v="87.29"/>
    <n v="5.08"/>
    <n v="1.5"/>
  </r>
  <r>
    <s v="EQ008"/>
    <x v="11"/>
    <x v="4"/>
    <x v="106"/>
    <x v="35"/>
    <n v="7.5"/>
    <n v="2.8"/>
    <x v="3"/>
    <x v="2"/>
    <x v="1"/>
    <x v="2"/>
    <n v="70.09"/>
    <n v="26.17"/>
    <n v="3.2"/>
  </r>
  <r>
    <s v="EQ005"/>
    <x v="9"/>
    <x v="0"/>
    <x v="110"/>
    <x v="50"/>
    <n v="5.5"/>
    <n v="2.5"/>
    <x v="4"/>
    <x v="2"/>
    <x v="0"/>
    <x v="2"/>
    <n v="61.8"/>
    <n v="28.09"/>
    <n v="3.4"/>
  </r>
  <r>
    <s v="EQ002"/>
    <x v="6"/>
    <x v="4"/>
    <x v="13"/>
    <x v="8"/>
    <n v="7.2"/>
    <n v="0.3"/>
    <x v="2"/>
    <x v="2"/>
    <x v="0"/>
    <x v="2"/>
    <n v="94.74"/>
    <n v="3.95"/>
    <n v="0.4"/>
  </r>
  <r>
    <s v="EQ008"/>
    <x v="11"/>
    <x v="2"/>
    <x v="0"/>
    <x v="36"/>
    <n v="5.4"/>
    <n v="2.7"/>
    <x v="2"/>
    <x v="2"/>
    <x v="0"/>
    <x v="2"/>
    <n v="63.53"/>
    <n v="31.76"/>
    <n v="3.1"/>
  </r>
  <r>
    <s v="EQ004"/>
    <x v="2"/>
    <x v="0"/>
    <x v="117"/>
    <x v="49"/>
    <n v="10.5"/>
    <n v="0.5"/>
    <x v="6"/>
    <x v="2"/>
    <x v="2"/>
    <x v="2"/>
    <n v="90.52"/>
    <n v="4.3099999999999996"/>
    <n v="1.1000000000000001"/>
  </r>
  <r>
    <s v="EQ001"/>
    <x v="5"/>
    <x v="2"/>
    <x v="39"/>
    <x v="7"/>
    <n v="4.9000000000000004"/>
    <n v="4.5999999999999996"/>
    <x v="2"/>
    <x v="2"/>
    <x v="6"/>
    <x v="0"/>
    <n v="48.04"/>
    <n v="45.1"/>
    <n v="5.3"/>
  </r>
  <r>
    <s v="EQ002"/>
    <x v="6"/>
    <x v="0"/>
    <x v="92"/>
    <x v="3"/>
    <n v="3.6"/>
    <n v="2.8"/>
    <x v="5"/>
    <x v="2"/>
    <x v="5"/>
    <x v="2"/>
    <n v="49.32"/>
    <n v="38.36"/>
    <n v="3.7"/>
  </r>
  <r>
    <s v="EQ005"/>
    <x v="9"/>
    <x v="6"/>
    <x v="69"/>
    <x v="40"/>
    <n v="3.6"/>
    <n v="2.5"/>
    <x v="5"/>
    <x v="2"/>
    <x v="7"/>
    <x v="2"/>
    <n v="53.73"/>
    <n v="37.31"/>
    <n v="3.1"/>
  </r>
  <r>
    <s v="EQ002"/>
    <x v="6"/>
    <x v="4"/>
    <x v="9"/>
    <x v="44"/>
    <n v="3.9"/>
    <n v="5.2"/>
    <x v="3"/>
    <x v="2"/>
    <x v="2"/>
    <x v="0"/>
    <n v="40.619999999999997"/>
    <n v="54.17"/>
    <n v="5.7"/>
  </r>
  <r>
    <s v="EQ005"/>
    <x v="9"/>
    <x v="1"/>
    <x v="118"/>
    <x v="25"/>
    <n v="5.3"/>
    <n v="4"/>
    <x v="4"/>
    <x v="2"/>
    <x v="0"/>
    <x v="0"/>
    <n v="54.64"/>
    <n v="41.24"/>
    <n v="4.4000000000000004"/>
  </r>
  <r>
    <s v="EQ009"/>
    <x v="8"/>
    <x v="2"/>
    <x v="27"/>
    <x v="39"/>
    <n v="8.5"/>
    <n v="2.4"/>
    <x v="5"/>
    <x v="2"/>
    <x v="6"/>
    <x v="1"/>
    <n v="72.650000000000006"/>
    <n v="20.51"/>
    <n v="3.2"/>
  </r>
  <r>
    <s v="EQ008"/>
    <x v="11"/>
    <x v="0"/>
    <x v="33"/>
    <x v="6"/>
    <n v="5.2"/>
    <n v="2.4"/>
    <x v="7"/>
    <x v="2"/>
    <x v="0"/>
    <x v="2"/>
    <n v="62.65"/>
    <n v="28.92"/>
    <n v="3.1"/>
  </r>
  <r>
    <s v="EQ004"/>
    <x v="2"/>
    <x v="5"/>
    <x v="101"/>
    <x v="57"/>
    <n v="8.5"/>
    <n v="0.6"/>
    <x v="7"/>
    <x v="2"/>
    <x v="2"/>
    <x v="2"/>
    <n v="86.73"/>
    <n v="6.12"/>
    <n v="1.3"/>
  </r>
  <r>
    <s v="EQ006"/>
    <x v="3"/>
    <x v="3"/>
    <x v="56"/>
    <x v="15"/>
    <n v="5.5"/>
    <n v="4.5999999999999996"/>
    <x v="2"/>
    <x v="2"/>
    <x v="7"/>
    <x v="0"/>
    <n v="50.46"/>
    <n v="42.2"/>
    <n v="5.4"/>
  </r>
  <r>
    <s v="EQ011"/>
    <x v="0"/>
    <x v="6"/>
    <x v="119"/>
    <x v="46"/>
    <n v="5.5"/>
    <n v="0.4"/>
    <x v="7"/>
    <x v="2"/>
    <x v="1"/>
    <x v="2"/>
    <n v="85.94"/>
    <n v="6.25"/>
    <n v="0.9"/>
  </r>
  <r>
    <s v="EQ004"/>
    <x v="2"/>
    <x v="0"/>
    <x v="29"/>
    <x v="49"/>
    <n v="8.1999999999999993"/>
    <n v="2.4"/>
    <x v="5"/>
    <x v="2"/>
    <x v="7"/>
    <x v="2"/>
    <n v="70.69"/>
    <n v="20.69"/>
    <n v="3.4"/>
  </r>
  <r>
    <s v="EQ001"/>
    <x v="5"/>
    <x v="4"/>
    <x v="20"/>
    <x v="54"/>
    <n v="4.4000000000000004"/>
    <n v="1.9"/>
    <x v="6"/>
    <x v="2"/>
    <x v="4"/>
    <x v="2"/>
    <n v="61.97"/>
    <n v="26.76"/>
    <n v="2.7"/>
  </r>
  <r>
    <s v="EQ002"/>
    <x v="6"/>
    <x v="4"/>
    <x v="36"/>
    <x v="32"/>
    <n v="5.5"/>
    <n v="2.7"/>
    <x v="2"/>
    <x v="2"/>
    <x v="4"/>
    <x v="2"/>
    <n v="63.95"/>
    <n v="31.4"/>
    <n v="3.1"/>
  </r>
  <r>
    <s v="EQ008"/>
    <x v="11"/>
    <x v="5"/>
    <x v="9"/>
    <x v="17"/>
    <n v="7.2"/>
    <n v="0.7"/>
    <x v="0"/>
    <x v="0"/>
    <x v="5"/>
    <x v="2"/>
    <n v="87.8"/>
    <n v="8.5399999999999991"/>
    <n v="1"/>
  </r>
  <r>
    <s v="EQ007"/>
    <x v="7"/>
    <x v="3"/>
    <x v="115"/>
    <x v="59"/>
    <n v="5.5"/>
    <n v="3.7"/>
    <x v="4"/>
    <x v="2"/>
    <x v="3"/>
    <x v="0"/>
    <n v="59.14"/>
    <n v="39.78"/>
    <n v="3.8"/>
  </r>
  <r>
    <s v="EQ005"/>
    <x v="9"/>
    <x v="1"/>
    <x v="120"/>
    <x v="19"/>
    <n v="5.0999999999999996"/>
    <n v="4.8"/>
    <x v="2"/>
    <x v="2"/>
    <x v="6"/>
    <x v="0"/>
    <n v="49.51"/>
    <n v="46.6"/>
    <n v="5.2"/>
  </r>
  <r>
    <s v="EQ012"/>
    <x v="10"/>
    <x v="4"/>
    <x v="64"/>
    <x v="25"/>
    <n v="6.4"/>
    <n v="2.7"/>
    <x v="6"/>
    <x v="2"/>
    <x v="6"/>
    <x v="2"/>
    <n v="65.98"/>
    <n v="27.84"/>
    <n v="3.3"/>
  </r>
  <r>
    <s v="EQ011"/>
    <x v="0"/>
    <x v="5"/>
    <x v="121"/>
    <x v="17"/>
    <n v="7.2"/>
    <n v="0.3"/>
    <x v="0"/>
    <x v="0"/>
    <x v="2"/>
    <x v="1"/>
    <n v="87.8"/>
    <n v="3.66"/>
    <n v="1"/>
  </r>
  <r>
    <s v="EQ001"/>
    <x v="5"/>
    <x v="6"/>
    <x v="27"/>
    <x v="26"/>
    <n v="5.8"/>
    <n v="1.2"/>
    <x v="5"/>
    <x v="2"/>
    <x v="6"/>
    <x v="2"/>
    <n v="78.38"/>
    <n v="16.22"/>
    <n v="1.6"/>
  </r>
  <r>
    <s v="EQ011"/>
    <x v="0"/>
    <x v="1"/>
    <x v="36"/>
    <x v="17"/>
    <n v="7"/>
    <n v="0.6"/>
    <x v="5"/>
    <x v="2"/>
    <x v="4"/>
    <x v="1"/>
    <n v="85.37"/>
    <n v="7.32"/>
    <n v="1.2"/>
  </r>
  <r>
    <s v="EQ006"/>
    <x v="3"/>
    <x v="5"/>
    <x v="122"/>
    <x v="41"/>
    <n v="3.5"/>
    <n v="3.3"/>
    <x v="2"/>
    <x v="2"/>
    <x v="5"/>
    <x v="0"/>
    <n v="46.67"/>
    <n v="44"/>
    <n v="4"/>
  </r>
  <r>
    <s v="EQ009"/>
    <x v="8"/>
    <x v="0"/>
    <x v="4"/>
    <x v="12"/>
    <n v="8.6999999999999993"/>
    <n v="1.7"/>
    <x v="5"/>
    <x v="2"/>
    <x v="3"/>
    <x v="1"/>
    <n v="82.08"/>
    <n v="16.04"/>
    <n v="1.9"/>
  </r>
  <r>
    <s v="EQ004"/>
    <x v="2"/>
    <x v="0"/>
    <x v="119"/>
    <x v="28"/>
    <n v="7.5"/>
    <n v="2.7"/>
    <x v="2"/>
    <x v="2"/>
    <x v="0"/>
    <x v="2"/>
    <n v="67.569999999999993"/>
    <n v="24.32"/>
    <n v="3.6"/>
  </r>
  <r>
    <s v="EQ011"/>
    <x v="0"/>
    <x v="2"/>
    <x v="100"/>
    <x v="59"/>
    <n v="5.3"/>
    <n v="3.7"/>
    <x v="3"/>
    <x v="2"/>
    <x v="2"/>
    <x v="0"/>
    <n v="56.99"/>
    <n v="39.78"/>
    <n v="4"/>
  </r>
  <r>
    <s v="EQ006"/>
    <x v="3"/>
    <x v="3"/>
    <x v="76"/>
    <x v="40"/>
    <n v="3.5"/>
    <n v="3.1"/>
    <x v="6"/>
    <x v="2"/>
    <x v="7"/>
    <x v="0"/>
    <n v="52.24"/>
    <n v="46.27"/>
    <n v="3.2"/>
  </r>
  <r>
    <s v="EQ001"/>
    <x v="5"/>
    <x v="2"/>
    <x v="98"/>
    <x v="30"/>
    <n v="6.4"/>
    <n v="2"/>
    <x v="3"/>
    <x v="2"/>
    <x v="0"/>
    <x v="2"/>
    <n v="68.09"/>
    <n v="21.28"/>
    <n v="3"/>
  </r>
  <r>
    <s v="EQ005"/>
    <x v="9"/>
    <x v="1"/>
    <x v="26"/>
    <x v="10"/>
    <n v="7.9"/>
    <n v="0.5"/>
    <x v="0"/>
    <x v="0"/>
    <x v="2"/>
    <x v="2"/>
    <n v="85.87"/>
    <n v="5.43"/>
    <n v="1.3"/>
  </r>
  <r>
    <s v="EQ011"/>
    <x v="0"/>
    <x v="0"/>
    <x v="123"/>
    <x v="38"/>
    <n v="6.3"/>
    <n v="2.4"/>
    <x v="6"/>
    <x v="2"/>
    <x v="2"/>
    <x v="2"/>
    <n v="71.59"/>
    <n v="27.27"/>
    <n v="2.5"/>
  </r>
  <r>
    <s v="EQ007"/>
    <x v="7"/>
    <x v="3"/>
    <x v="107"/>
    <x v="58"/>
    <n v="7.8"/>
    <n v="2.9"/>
    <x v="3"/>
    <x v="2"/>
    <x v="4"/>
    <x v="2"/>
    <n v="70.91"/>
    <n v="26.36"/>
    <n v="3.2"/>
  </r>
  <r>
    <s v="EQ006"/>
    <x v="3"/>
    <x v="3"/>
    <x v="106"/>
    <x v="28"/>
    <n v="6.1"/>
    <n v="4.4000000000000004"/>
    <x v="5"/>
    <x v="2"/>
    <x v="3"/>
    <x v="0"/>
    <n v="54.95"/>
    <n v="39.64"/>
    <n v="5"/>
  </r>
  <r>
    <s v="EQ003"/>
    <x v="4"/>
    <x v="5"/>
    <x v="69"/>
    <x v="25"/>
    <n v="4.4000000000000004"/>
    <n v="4.7"/>
    <x v="5"/>
    <x v="2"/>
    <x v="2"/>
    <x v="0"/>
    <n v="45.36"/>
    <n v="48.45"/>
    <n v="5.3"/>
  </r>
  <r>
    <s v="EQ003"/>
    <x v="4"/>
    <x v="5"/>
    <x v="89"/>
    <x v="19"/>
    <n v="7.9"/>
    <n v="1.6"/>
    <x v="5"/>
    <x v="2"/>
    <x v="6"/>
    <x v="2"/>
    <n v="76.7"/>
    <n v="15.53"/>
    <n v="2.4"/>
  </r>
  <r>
    <s v="EQ002"/>
    <x v="6"/>
    <x v="0"/>
    <x v="110"/>
    <x v="12"/>
    <n v="5.9"/>
    <n v="4.5"/>
    <x v="5"/>
    <x v="2"/>
    <x v="5"/>
    <x v="0"/>
    <n v="55.66"/>
    <n v="42.45"/>
    <n v="4.7"/>
  </r>
  <r>
    <s v="EQ010"/>
    <x v="1"/>
    <x v="5"/>
    <x v="58"/>
    <x v="11"/>
    <n v="7"/>
    <n v="1.7"/>
    <x v="7"/>
    <x v="2"/>
    <x v="7"/>
    <x v="2"/>
    <n v="77.78"/>
    <n v="18.89"/>
    <n v="2"/>
  </r>
  <r>
    <s v="EQ011"/>
    <x v="0"/>
    <x v="1"/>
    <x v="124"/>
    <x v="22"/>
    <n v="7.1"/>
    <n v="1.4"/>
    <x v="2"/>
    <x v="2"/>
    <x v="7"/>
    <x v="1"/>
    <n v="81.61"/>
    <n v="16.09"/>
    <n v="1.6"/>
  </r>
  <r>
    <s v="EQ004"/>
    <x v="2"/>
    <x v="2"/>
    <x v="59"/>
    <x v="51"/>
    <n v="6.3"/>
    <n v="0.3"/>
    <x v="6"/>
    <x v="2"/>
    <x v="4"/>
    <x v="1"/>
    <n v="91.3"/>
    <n v="4.3499999999999996"/>
    <n v="0.6"/>
  </r>
  <r>
    <s v="EQ003"/>
    <x v="4"/>
    <x v="4"/>
    <x v="36"/>
    <x v="48"/>
    <n v="4.2"/>
    <n v="4.7"/>
    <x v="0"/>
    <x v="0"/>
    <x v="3"/>
    <x v="0"/>
    <n v="46.15"/>
    <n v="51.65"/>
    <n v="4.9000000000000004"/>
  </r>
  <r>
    <s v="EQ008"/>
    <x v="11"/>
    <x v="6"/>
    <x v="103"/>
    <x v="21"/>
    <n v="3.8"/>
    <n v="2.4"/>
    <x v="5"/>
    <x v="2"/>
    <x v="5"/>
    <x v="2"/>
    <n v="57.58"/>
    <n v="36.36"/>
    <n v="2.8"/>
  </r>
  <r>
    <s v="EQ003"/>
    <x v="4"/>
    <x v="4"/>
    <x v="44"/>
    <x v="49"/>
    <n v="9.6999999999999993"/>
    <n v="1.7"/>
    <x v="3"/>
    <x v="2"/>
    <x v="7"/>
    <x v="1"/>
    <n v="83.62"/>
    <n v="14.66"/>
    <n v="1.9"/>
  </r>
  <r>
    <s v="EQ008"/>
    <x v="11"/>
    <x v="2"/>
    <x v="9"/>
    <x v="45"/>
    <n v="5.9"/>
    <n v="0"/>
    <x v="1"/>
    <x v="1"/>
    <x v="1"/>
    <x v="2"/>
    <n v="96.72"/>
    <n v="0"/>
    <n v="0.2"/>
  </r>
  <r>
    <s v="EQ010"/>
    <x v="1"/>
    <x v="2"/>
    <x v="22"/>
    <x v="29"/>
    <n v="4.4000000000000004"/>
    <n v="1"/>
    <x v="4"/>
    <x v="2"/>
    <x v="7"/>
    <x v="2"/>
    <n v="69.84"/>
    <n v="15.87"/>
    <n v="1.9"/>
  </r>
  <r>
    <s v="EQ009"/>
    <x v="8"/>
    <x v="0"/>
    <x v="32"/>
    <x v="32"/>
    <n v="8"/>
    <n v="0"/>
    <x v="1"/>
    <x v="1"/>
    <x v="5"/>
    <x v="2"/>
    <n v="93.02"/>
    <n v="0"/>
    <n v="0.6"/>
  </r>
  <r>
    <s v="EQ001"/>
    <x v="5"/>
    <x v="1"/>
    <x v="71"/>
    <x v="30"/>
    <n v="4.9000000000000004"/>
    <n v="3.9"/>
    <x v="0"/>
    <x v="0"/>
    <x v="5"/>
    <x v="0"/>
    <n v="52.13"/>
    <n v="41.49"/>
    <n v="4.5"/>
  </r>
  <r>
    <s v="EQ009"/>
    <x v="8"/>
    <x v="1"/>
    <x v="15"/>
    <x v="2"/>
    <n v="7.6"/>
    <n v="0"/>
    <x v="1"/>
    <x v="1"/>
    <x v="0"/>
    <x v="2"/>
    <n v="98.7"/>
    <n v="0"/>
    <n v="0.1"/>
  </r>
  <r>
    <s v="EQ002"/>
    <x v="6"/>
    <x v="1"/>
    <x v="125"/>
    <x v="4"/>
    <n v="6.5"/>
    <n v="3.4"/>
    <x v="6"/>
    <x v="2"/>
    <x v="2"/>
    <x v="0"/>
    <n v="60.19"/>
    <n v="31.48"/>
    <n v="4.3"/>
  </r>
  <r>
    <s v="EQ004"/>
    <x v="2"/>
    <x v="3"/>
    <x v="11"/>
    <x v="9"/>
    <n v="3.6"/>
    <n v="4.8"/>
    <x v="4"/>
    <x v="2"/>
    <x v="4"/>
    <x v="0"/>
    <n v="42.86"/>
    <n v="57.14"/>
    <n v="4.8"/>
  </r>
  <r>
    <s v="EQ008"/>
    <x v="11"/>
    <x v="3"/>
    <x v="24"/>
    <x v="51"/>
    <n v="6.5"/>
    <n v="0.3"/>
    <x v="5"/>
    <x v="2"/>
    <x v="4"/>
    <x v="2"/>
    <n v="94.2"/>
    <n v="4.3499999999999996"/>
    <n v="0.4"/>
  </r>
  <r>
    <s v="EQ007"/>
    <x v="7"/>
    <x v="3"/>
    <x v="124"/>
    <x v="44"/>
    <n v="6.8"/>
    <n v="2.2999999999999998"/>
    <x v="2"/>
    <x v="2"/>
    <x v="3"/>
    <x v="1"/>
    <n v="70.83"/>
    <n v="23.96"/>
    <n v="2.8"/>
  </r>
  <r>
    <s v="EQ001"/>
    <x v="5"/>
    <x v="2"/>
    <x v="67"/>
    <x v="20"/>
    <n v="9.9"/>
    <n v="0"/>
    <x v="1"/>
    <x v="1"/>
    <x v="6"/>
    <x v="1"/>
    <n v="99"/>
    <n v="0"/>
    <n v="0.1"/>
  </r>
  <r>
    <s v="EQ005"/>
    <x v="9"/>
    <x v="5"/>
    <x v="41"/>
    <x v="5"/>
    <n v="7.9"/>
    <n v="1"/>
    <x v="3"/>
    <x v="2"/>
    <x v="5"/>
    <x v="2"/>
    <n v="83.16"/>
    <n v="10.53"/>
    <n v="1.6"/>
  </r>
  <r>
    <s v="EQ011"/>
    <x v="0"/>
    <x v="6"/>
    <x v="1"/>
    <x v="30"/>
    <n v="7.7"/>
    <n v="1.5"/>
    <x v="2"/>
    <x v="2"/>
    <x v="4"/>
    <x v="1"/>
    <n v="81.91"/>
    <n v="15.96"/>
    <n v="1.7"/>
  </r>
  <r>
    <s v="EQ003"/>
    <x v="4"/>
    <x v="1"/>
    <x v="126"/>
    <x v="52"/>
    <n v="5"/>
    <n v="1.6"/>
    <x v="2"/>
    <x v="2"/>
    <x v="6"/>
    <x v="2"/>
    <n v="69.44"/>
    <n v="22.22"/>
    <n v="2.2000000000000002"/>
  </r>
  <r>
    <s v="EQ009"/>
    <x v="8"/>
    <x v="6"/>
    <x v="10"/>
    <x v="55"/>
    <n v="6.4"/>
    <n v="1.1000000000000001"/>
    <x v="7"/>
    <x v="2"/>
    <x v="2"/>
    <x v="1"/>
    <n v="80"/>
    <n v="13.75"/>
    <n v="1.6"/>
  </r>
  <r>
    <s v="EQ009"/>
    <x v="8"/>
    <x v="2"/>
    <x v="127"/>
    <x v="43"/>
    <n v="7"/>
    <n v="0.4"/>
    <x v="4"/>
    <x v="2"/>
    <x v="3"/>
    <x v="1"/>
    <n v="86.42"/>
    <n v="4.9400000000000004"/>
    <n v="1.1000000000000001"/>
  </r>
  <r>
    <s v="EQ004"/>
    <x v="2"/>
    <x v="6"/>
    <x v="122"/>
    <x v="59"/>
    <n v="5"/>
    <n v="3.3"/>
    <x v="7"/>
    <x v="2"/>
    <x v="3"/>
    <x v="0"/>
    <n v="53.76"/>
    <n v="35.479999999999997"/>
    <n v="4.3"/>
  </r>
  <r>
    <s v="EQ012"/>
    <x v="10"/>
    <x v="6"/>
    <x v="126"/>
    <x v="7"/>
    <n v="6"/>
    <n v="3.9"/>
    <x v="6"/>
    <x v="2"/>
    <x v="3"/>
    <x v="0"/>
    <n v="58.82"/>
    <n v="38.24"/>
    <n v="4.2"/>
  </r>
  <r>
    <s v="EQ005"/>
    <x v="9"/>
    <x v="0"/>
    <x v="128"/>
    <x v="24"/>
    <n v="6.3"/>
    <n v="2.8"/>
    <x v="6"/>
    <x v="2"/>
    <x v="4"/>
    <x v="2"/>
    <n v="62.38"/>
    <n v="27.72"/>
    <n v="3.8"/>
  </r>
  <r>
    <s v="EQ005"/>
    <x v="9"/>
    <x v="0"/>
    <x v="129"/>
    <x v="39"/>
    <n v="5.2"/>
    <n v="5.6"/>
    <x v="4"/>
    <x v="2"/>
    <x v="3"/>
    <x v="0"/>
    <n v="44.44"/>
    <n v="47.86"/>
    <n v="6.5"/>
  </r>
  <r>
    <s v="EQ012"/>
    <x v="10"/>
    <x v="1"/>
    <x v="74"/>
    <x v="52"/>
    <n v="5.2"/>
    <n v="1.1000000000000001"/>
    <x v="4"/>
    <x v="2"/>
    <x v="3"/>
    <x v="2"/>
    <n v="72.22"/>
    <n v="15.28"/>
    <n v="2"/>
  </r>
  <r>
    <s v="EQ002"/>
    <x v="6"/>
    <x v="3"/>
    <x v="2"/>
    <x v="26"/>
    <n v="3.2"/>
    <n v="3.3"/>
    <x v="3"/>
    <x v="2"/>
    <x v="1"/>
    <x v="0"/>
    <n v="43.24"/>
    <n v="44.59"/>
    <n v="4.2"/>
  </r>
  <r>
    <s v="EQ001"/>
    <x v="5"/>
    <x v="0"/>
    <x v="102"/>
    <x v="55"/>
    <n v="5.5"/>
    <n v="1.8"/>
    <x v="3"/>
    <x v="2"/>
    <x v="6"/>
    <x v="2"/>
    <n v="68.75"/>
    <n v="22.5"/>
    <n v="2.5"/>
  </r>
  <r>
    <s v="EQ007"/>
    <x v="7"/>
    <x v="5"/>
    <x v="130"/>
    <x v="50"/>
    <n v="4.5999999999999996"/>
    <n v="3.3"/>
    <x v="7"/>
    <x v="2"/>
    <x v="3"/>
    <x v="0"/>
    <n v="51.69"/>
    <n v="37.08"/>
    <n v="4.3"/>
  </r>
  <r>
    <s v="EQ011"/>
    <x v="0"/>
    <x v="0"/>
    <x v="131"/>
    <x v="23"/>
    <n v="5.3"/>
    <n v="3.9"/>
    <x v="6"/>
    <x v="2"/>
    <x v="6"/>
    <x v="0"/>
    <n v="53.54"/>
    <n v="39.39"/>
    <n v="4.5999999999999996"/>
  </r>
  <r>
    <s v="EQ003"/>
    <x v="4"/>
    <x v="1"/>
    <x v="50"/>
    <x v="49"/>
    <n v="4.9000000000000004"/>
    <n v="5.9"/>
    <x v="6"/>
    <x v="2"/>
    <x v="7"/>
    <x v="0"/>
    <n v="42.24"/>
    <n v="50.86"/>
    <n v="6.7"/>
  </r>
  <r>
    <s v="EQ003"/>
    <x v="4"/>
    <x v="5"/>
    <x v="132"/>
    <x v="14"/>
    <n v="4.5999999999999996"/>
    <n v="6.1"/>
    <x v="0"/>
    <x v="0"/>
    <x v="4"/>
    <x v="0"/>
    <n v="40.71"/>
    <n v="53.98"/>
    <n v="6.7"/>
  </r>
  <r>
    <s v="EQ005"/>
    <x v="9"/>
    <x v="1"/>
    <x v="110"/>
    <x v="59"/>
    <n v="6.5"/>
    <n v="1.9"/>
    <x v="6"/>
    <x v="2"/>
    <x v="7"/>
    <x v="2"/>
    <n v="69.89"/>
    <n v="20.43"/>
    <n v="2.8"/>
  </r>
  <r>
    <s v="EQ004"/>
    <x v="2"/>
    <x v="4"/>
    <x v="133"/>
    <x v="55"/>
    <n v="6.7"/>
    <n v="0.7"/>
    <x v="4"/>
    <x v="2"/>
    <x v="2"/>
    <x v="2"/>
    <n v="83.75"/>
    <n v="8.75"/>
    <n v="1.3"/>
  </r>
  <r>
    <s v="EQ012"/>
    <x v="10"/>
    <x v="2"/>
    <x v="134"/>
    <x v="30"/>
    <n v="8"/>
    <n v="1.2"/>
    <x v="6"/>
    <x v="2"/>
    <x v="5"/>
    <x v="1"/>
    <n v="85.11"/>
    <n v="12.77"/>
    <n v="1.4"/>
  </r>
  <r>
    <s v="EQ009"/>
    <x v="8"/>
    <x v="2"/>
    <x v="131"/>
    <x v="9"/>
    <n v="3.8"/>
    <n v="3.6"/>
    <x v="2"/>
    <x v="2"/>
    <x v="4"/>
    <x v="0"/>
    <n v="45.24"/>
    <n v="42.86"/>
    <n v="4.5999999999999996"/>
  </r>
  <r>
    <s v="EQ004"/>
    <x v="2"/>
    <x v="0"/>
    <x v="135"/>
    <x v="6"/>
    <n v="5.5"/>
    <n v="2.5"/>
    <x v="7"/>
    <x v="2"/>
    <x v="3"/>
    <x v="2"/>
    <n v="66.27"/>
    <n v="30.12"/>
    <n v="2.8"/>
  </r>
  <r>
    <s v="EQ005"/>
    <x v="9"/>
    <x v="5"/>
    <x v="5"/>
    <x v="7"/>
    <n v="4.5"/>
    <n v="5.6"/>
    <x v="7"/>
    <x v="2"/>
    <x v="2"/>
    <x v="0"/>
    <n v="44.12"/>
    <n v="54.9"/>
    <n v="5.7"/>
  </r>
  <r>
    <s v="EQ007"/>
    <x v="7"/>
    <x v="5"/>
    <x v="136"/>
    <x v="34"/>
    <n v="10.7"/>
    <n v="0"/>
    <x v="1"/>
    <x v="1"/>
    <x v="0"/>
    <x v="2"/>
    <n v="93.04"/>
    <n v="0"/>
    <n v="0.8"/>
  </r>
  <r>
    <s v="EQ006"/>
    <x v="3"/>
    <x v="3"/>
    <x v="137"/>
    <x v="3"/>
    <n v="3.5"/>
    <n v="3.6"/>
    <x v="4"/>
    <x v="2"/>
    <x v="4"/>
    <x v="0"/>
    <n v="47.95"/>
    <n v="49.32"/>
    <n v="3.8"/>
  </r>
  <r>
    <s v="EQ007"/>
    <x v="7"/>
    <x v="5"/>
    <x v="15"/>
    <x v="34"/>
    <n v="9.8000000000000007"/>
    <n v="0.9"/>
    <x v="6"/>
    <x v="2"/>
    <x v="1"/>
    <x v="2"/>
    <n v="85.22"/>
    <n v="7.83"/>
    <n v="1.7"/>
  </r>
  <r>
    <s v="EQ011"/>
    <x v="0"/>
    <x v="4"/>
    <x v="97"/>
    <x v="18"/>
    <n v="5"/>
    <n v="5.8"/>
    <x v="4"/>
    <x v="2"/>
    <x v="4"/>
    <x v="0"/>
    <n v="44.64"/>
    <n v="51.79"/>
    <n v="6.2"/>
  </r>
  <r>
    <s v="EQ002"/>
    <x v="6"/>
    <x v="3"/>
    <x v="133"/>
    <x v="46"/>
    <n v="4.7"/>
    <n v="1.2"/>
    <x v="5"/>
    <x v="2"/>
    <x v="2"/>
    <x v="2"/>
    <n v="73.44"/>
    <n v="18.75"/>
    <n v="1.7"/>
  </r>
  <r>
    <s v="EQ006"/>
    <x v="3"/>
    <x v="4"/>
    <x v="62"/>
    <x v="22"/>
    <n v="7"/>
    <n v="1"/>
    <x v="2"/>
    <x v="2"/>
    <x v="0"/>
    <x v="1"/>
    <n v="80.459999999999994"/>
    <n v="11.49"/>
    <n v="1.7"/>
  </r>
  <r>
    <s v="EQ001"/>
    <x v="5"/>
    <x v="1"/>
    <x v="18"/>
    <x v="48"/>
    <n v="6.1"/>
    <n v="2.9"/>
    <x v="2"/>
    <x v="2"/>
    <x v="3"/>
    <x v="2"/>
    <n v="67.03"/>
    <n v="31.87"/>
    <n v="3"/>
  </r>
  <r>
    <s v="EQ007"/>
    <x v="7"/>
    <x v="2"/>
    <x v="118"/>
    <x v="27"/>
    <n v="7.8"/>
    <n v="2.7"/>
    <x v="7"/>
    <x v="2"/>
    <x v="0"/>
    <x v="2"/>
    <n v="74.290000000000006"/>
    <n v="25.71"/>
    <n v="2.7"/>
  </r>
  <r>
    <s v="EQ002"/>
    <x v="6"/>
    <x v="1"/>
    <x v="1"/>
    <x v="2"/>
    <n v="3.9"/>
    <n v="3.7"/>
    <x v="4"/>
    <x v="2"/>
    <x v="5"/>
    <x v="0"/>
    <n v="50.65"/>
    <n v="48.05"/>
    <n v="3.8"/>
  </r>
  <r>
    <s v="EQ006"/>
    <x v="3"/>
    <x v="1"/>
    <x v="138"/>
    <x v="18"/>
    <n v="10.6"/>
    <n v="0.2"/>
    <x v="4"/>
    <x v="2"/>
    <x v="2"/>
    <x v="2"/>
    <n v="94.64"/>
    <n v="1.79"/>
    <n v="0.6"/>
  </r>
  <r>
    <s v="EQ002"/>
    <x v="6"/>
    <x v="6"/>
    <x v="21"/>
    <x v="9"/>
    <n v="4"/>
    <n v="3.4"/>
    <x v="6"/>
    <x v="2"/>
    <x v="6"/>
    <x v="0"/>
    <n v="47.62"/>
    <n v="40.479999999999997"/>
    <n v="4.4000000000000004"/>
  </r>
  <r>
    <s v="EQ001"/>
    <x v="5"/>
    <x v="2"/>
    <x v="51"/>
    <x v="20"/>
    <n v="7.3"/>
    <n v="2.2000000000000002"/>
    <x v="6"/>
    <x v="2"/>
    <x v="1"/>
    <x v="2"/>
    <n v="73"/>
    <n v="22"/>
    <n v="2.7"/>
  </r>
  <r>
    <s v="EQ008"/>
    <x v="11"/>
    <x v="2"/>
    <x v="3"/>
    <x v="2"/>
    <n v="7.4"/>
    <n v="0"/>
    <x v="1"/>
    <x v="1"/>
    <x v="0"/>
    <x v="2"/>
    <n v="96.1"/>
    <n v="0"/>
    <n v="0.3"/>
  </r>
  <r>
    <s v="EQ011"/>
    <x v="0"/>
    <x v="1"/>
    <x v="139"/>
    <x v="12"/>
    <n v="9.9"/>
    <n v="0.7"/>
    <x v="3"/>
    <x v="2"/>
    <x v="0"/>
    <x v="2"/>
    <n v="93.4"/>
    <n v="6.6"/>
    <n v="0.7"/>
  </r>
  <r>
    <s v="EQ010"/>
    <x v="1"/>
    <x v="0"/>
    <x v="138"/>
    <x v="44"/>
    <n v="7.9"/>
    <n v="1.7"/>
    <x v="4"/>
    <x v="2"/>
    <x v="6"/>
    <x v="1"/>
    <n v="82.29"/>
    <n v="17.71"/>
    <n v="1.7"/>
  </r>
  <r>
    <s v="EQ008"/>
    <x v="11"/>
    <x v="6"/>
    <x v="114"/>
    <x v="3"/>
    <n v="6.7"/>
    <n v="0.5"/>
    <x v="5"/>
    <x v="2"/>
    <x v="3"/>
    <x v="2"/>
    <n v="91.78"/>
    <n v="6.85"/>
    <n v="0.6"/>
  </r>
  <r>
    <s v="EQ012"/>
    <x v="10"/>
    <x v="3"/>
    <x v="117"/>
    <x v="5"/>
    <n v="8.1999999999999993"/>
    <n v="0.5"/>
    <x v="3"/>
    <x v="2"/>
    <x v="3"/>
    <x v="2"/>
    <n v="86.32"/>
    <n v="5.26"/>
    <n v="1.3"/>
  </r>
  <r>
    <s v="EQ011"/>
    <x v="0"/>
    <x v="3"/>
    <x v="137"/>
    <x v="36"/>
    <n v="4.8"/>
    <n v="3.1"/>
    <x v="5"/>
    <x v="2"/>
    <x v="2"/>
    <x v="0"/>
    <n v="56.47"/>
    <n v="36.47"/>
    <n v="3.7"/>
  </r>
  <r>
    <s v="EQ011"/>
    <x v="0"/>
    <x v="5"/>
    <x v="35"/>
    <x v="59"/>
    <n v="4"/>
    <n v="5"/>
    <x v="4"/>
    <x v="2"/>
    <x v="5"/>
    <x v="0"/>
    <n v="43.01"/>
    <n v="53.76"/>
    <n v="5.3"/>
  </r>
  <r>
    <s v="EQ009"/>
    <x v="8"/>
    <x v="2"/>
    <x v="140"/>
    <x v="36"/>
    <n v="4.2"/>
    <n v="3.9"/>
    <x v="6"/>
    <x v="2"/>
    <x v="7"/>
    <x v="0"/>
    <n v="49.41"/>
    <n v="45.88"/>
    <n v="4.3"/>
  </r>
  <r>
    <s v="EQ004"/>
    <x v="2"/>
    <x v="4"/>
    <x v="76"/>
    <x v="42"/>
    <n v="6.4"/>
    <n v="0.6"/>
    <x v="0"/>
    <x v="0"/>
    <x v="5"/>
    <x v="1"/>
    <n v="82.05"/>
    <n v="7.69"/>
    <n v="1.4"/>
  </r>
  <r>
    <s v="EQ009"/>
    <x v="8"/>
    <x v="3"/>
    <x v="119"/>
    <x v="6"/>
    <n v="4.5999999999999996"/>
    <n v="3.4"/>
    <x v="0"/>
    <x v="0"/>
    <x v="7"/>
    <x v="0"/>
    <n v="55.42"/>
    <n v="40.96"/>
    <n v="3.7"/>
  </r>
  <r>
    <s v="EQ006"/>
    <x v="3"/>
    <x v="0"/>
    <x v="21"/>
    <x v="19"/>
    <n v="5.3"/>
    <n v="4.7"/>
    <x v="4"/>
    <x v="2"/>
    <x v="6"/>
    <x v="0"/>
    <n v="51.46"/>
    <n v="45.63"/>
    <n v="5"/>
  </r>
  <r>
    <s v="EQ002"/>
    <x v="6"/>
    <x v="6"/>
    <x v="2"/>
    <x v="19"/>
    <n v="7.6"/>
    <n v="2.2000000000000002"/>
    <x v="6"/>
    <x v="2"/>
    <x v="4"/>
    <x v="2"/>
    <n v="73.790000000000006"/>
    <n v="21.36"/>
    <n v="2.7"/>
  </r>
  <r>
    <s v="EQ001"/>
    <x v="5"/>
    <x v="6"/>
    <x v="82"/>
    <x v="13"/>
    <n v="5.6"/>
    <n v="5.2"/>
    <x v="2"/>
    <x v="2"/>
    <x v="1"/>
    <x v="0"/>
    <n v="47.46"/>
    <n v="44.07"/>
    <n v="6.2"/>
  </r>
  <r>
    <s v="EQ012"/>
    <x v="10"/>
    <x v="3"/>
    <x v="86"/>
    <x v="52"/>
    <n v="6.8"/>
    <n v="0"/>
    <x v="1"/>
    <x v="1"/>
    <x v="3"/>
    <x v="1"/>
    <n v="94.44"/>
    <n v="0"/>
    <n v="0.4"/>
  </r>
  <r>
    <s v="EQ008"/>
    <x v="11"/>
    <x v="3"/>
    <x v="16"/>
    <x v="17"/>
    <n v="4.5999999999999996"/>
    <n v="3.1"/>
    <x v="2"/>
    <x v="2"/>
    <x v="7"/>
    <x v="0"/>
    <n v="56.1"/>
    <n v="37.799999999999997"/>
    <n v="3.6"/>
  </r>
  <r>
    <s v="EQ002"/>
    <x v="6"/>
    <x v="4"/>
    <x v="39"/>
    <x v="12"/>
    <n v="6.3"/>
    <n v="4.0999999999999996"/>
    <x v="7"/>
    <x v="2"/>
    <x v="5"/>
    <x v="0"/>
    <n v="59.43"/>
    <n v="38.68"/>
    <n v="4.3"/>
  </r>
  <r>
    <s v="EQ001"/>
    <x v="5"/>
    <x v="3"/>
    <x v="137"/>
    <x v="0"/>
    <n v="4.3"/>
    <n v="5.5"/>
    <x v="5"/>
    <x v="2"/>
    <x v="5"/>
    <x v="0"/>
    <n v="41.35"/>
    <n v="52.88"/>
    <n v="6.1"/>
  </r>
  <r>
    <s v="EQ005"/>
    <x v="9"/>
    <x v="6"/>
    <x v="141"/>
    <x v="55"/>
    <n v="5"/>
    <n v="2.2000000000000002"/>
    <x v="2"/>
    <x v="2"/>
    <x v="4"/>
    <x v="2"/>
    <n v="62.5"/>
    <n v="27.5"/>
    <n v="3"/>
  </r>
  <r>
    <s v="EQ008"/>
    <x v="11"/>
    <x v="5"/>
    <x v="110"/>
    <x v="0"/>
    <n v="7"/>
    <n v="2.7"/>
    <x v="7"/>
    <x v="2"/>
    <x v="2"/>
    <x v="2"/>
    <n v="67.31"/>
    <n v="25.96"/>
    <n v="3.4"/>
  </r>
  <r>
    <s v="EQ012"/>
    <x v="10"/>
    <x v="3"/>
    <x v="70"/>
    <x v="54"/>
    <n v="6.6"/>
    <n v="0"/>
    <x v="1"/>
    <x v="1"/>
    <x v="6"/>
    <x v="2"/>
    <n v="92.96"/>
    <n v="0"/>
    <n v="0.5"/>
  </r>
  <r>
    <s v="EQ002"/>
    <x v="6"/>
    <x v="4"/>
    <x v="38"/>
    <x v="29"/>
    <n v="2.5"/>
    <n v="3.7"/>
    <x v="4"/>
    <x v="2"/>
    <x v="1"/>
    <x v="0"/>
    <n v="39.68"/>
    <n v="58.73"/>
    <n v="3.8"/>
  </r>
  <r>
    <s v="EQ002"/>
    <x v="6"/>
    <x v="5"/>
    <x v="142"/>
    <x v="45"/>
    <n v="4.3"/>
    <n v="1.4"/>
    <x v="5"/>
    <x v="2"/>
    <x v="7"/>
    <x v="1"/>
    <n v="70.489999999999995"/>
    <n v="22.95"/>
    <n v="1.8"/>
  </r>
  <r>
    <s v="EQ001"/>
    <x v="5"/>
    <x v="0"/>
    <x v="143"/>
    <x v="59"/>
    <n v="3.8"/>
    <n v="5"/>
    <x v="7"/>
    <x v="2"/>
    <x v="3"/>
    <x v="0"/>
    <n v="40.86"/>
    <n v="53.76"/>
    <n v="5.5"/>
  </r>
  <r>
    <s v="EQ001"/>
    <x v="5"/>
    <x v="3"/>
    <x v="140"/>
    <x v="20"/>
    <n v="8.8000000000000007"/>
    <n v="0.3"/>
    <x v="0"/>
    <x v="0"/>
    <x v="0"/>
    <x v="2"/>
    <n v="88"/>
    <n v="3"/>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8F2D6-CA11-4BC8-B27F-A34F914554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AC25" firstHeaderRow="1" firstDataRow="3" firstDataCol="1" rowPageCount="1" colPageCount="1"/>
  <pivotFields count="14">
    <pivotField dataField="1" multipleItemSelectionAllowed="1" showAll="0"/>
    <pivotField axis="axisPage" multipleItemSelectionAllowed="1" showAll="0">
      <items count="13">
        <item x="1"/>
        <item x="6"/>
        <item x="7"/>
        <item x="10"/>
        <item x="3"/>
        <item x="11"/>
        <item x="5"/>
        <item x="8"/>
        <item x="0"/>
        <item x="9"/>
        <item x="4"/>
        <item x="2"/>
        <item t="default"/>
      </items>
    </pivotField>
    <pivotField axis="axisRow" showAll="0">
      <items count="19">
        <item x="3"/>
        <item f="1" x="7"/>
        <item f="1" x="8"/>
        <item f="1" x="9"/>
        <item f="1" x="10"/>
        <item f="1" x="11"/>
        <item f="1" x="12"/>
        <item x="1"/>
        <item x="4"/>
        <item x="0"/>
        <item x="5"/>
        <item x="2"/>
        <item x="6"/>
        <item f="1" x="13"/>
        <item f="1" x="14"/>
        <item f="1" x="15"/>
        <item f="1" x="16"/>
        <item f="1" x="17"/>
        <item t="default"/>
      </items>
    </pivotField>
    <pivotField numFmtId="164" showAll="0"/>
    <pivotField showAll="0"/>
    <pivotField showAll="0"/>
    <pivotField showAll="0"/>
    <pivotField showAll="0"/>
    <pivotField showAll="0"/>
    <pivotField axis="axisCol" multipleItemSelectionAllowed="1" showAll="0">
      <items count="9">
        <item x="6"/>
        <item x="0"/>
        <item x="2"/>
        <item x="1"/>
        <item x="3"/>
        <item x="4"/>
        <item x="5"/>
        <item x="7"/>
        <item t="default"/>
      </items>
    </pivotField>
    <pivotField axis="axisCol" showAll="0">
      <items count="4">
        <item x="2"/>
        <item x="1"/>
        <item x="0"/>
        <item t="default"/>
      </items>
    </pivotField>
    <pivotField showAll="0"/>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2">
    <field x="10"/>
    <field x="9"/>
  </colFields>
  <colItems count="28">
    <i>
      <x/>
      <x/>
    </i>
    <i r="1">
      <x v="1"/>
    </i>
    <i r="1">
      <x v="2"/>
    </i>
    <i r="1">
      <x v="3"/>
    </i>
    <i r="1">
      <x v="4"/>
    </i>
    <i r="1">
      <x v="5"/>
    </i>
    <i r="1">
      <x v="6"/>
    </i>
    <i r="1">
      <x v="7"/>
    </i>
    <i t="default">
      <x/>
    </i>
    <i>
      <x v="1"/>
      <x/>
    </i>
    <i r="1">
      <x v="1"/>
    </i>
    <i r="1">
      <x v="2"/>
    </i>
    <i r="1">
      <x v="3"/>
    </i>
    <i r="1">
      <x v="4"/>
    </i>
    <i r="1">
      <x v="5"/>
    </i>
    <i r="1">
      <x v="6"/>
    </i>
    <i r="1">
      <x v="7"/>
    </i>
    <i t="default">
      <x v="1"/>
    </i>
    <i>
      <x v="2"/>
      <x/>
    </i>
    <i r="1">
      <x v="1"/>
    </i>
    <i r="1">
      <x v="2"/>
    </i>
    <i r="1">
      <x v="3"/>
    </i>
    <i r="1">
      <x v="4"/>
    </i>
    <i r="1">
      <x v="5"/>
    </i>
    <i r="1">
      <x v="6"/>
    </i>
    <i r="1">
      <x v="7"/>
    </i>
    <i t="default">
      <x v="2"/>
    </i>
    <i t="grand">
      <x/>
    </i>
  </colItems>
  <pageFields count="1">
    <pageField fld="1" hier="-1"/>
  </pageFields>
  <dataFields count="1">
    <dataField name="Count of Equipment_ID" fld="0" subtotal="count" baseField="0" baseItem="0"/>
  </dataFields>
  <chartFormats count="480">
    <chartFormat chart="2" format="91" series="1">
      <pivotArea type="data" outline="0" fieldPosition="0">
        <references count="2">
          <reference field="9" count="1" selected="0">
            <x v="0"/>
          </reference>
          <reference field="10" count="1" selected="0">
            <x v="0"/>
          </reference>
        </references>
      </pivotArea>
    </chartFormat>
    <chartFormat chart="2" format="92" series="1">
      <pivotArea type="data" outline="0" fieldPosition="0">
        <references count="2">
          <reference field="9" count="1" selected="0">
            <x v="1"/>
          </reference>
          <reference field="10" count="1" selected="0">
            <x v="0"/>
          </reference>
        </references>
      </pivotArea>
    </chartFormat>
    <chartFormat chart="2" format="93" series="1">
      <pivotArea type="data" outline="0" fieldPosition="0">
        <references count="2">
          <reference field="9" count="1" selected="0">
            <x v="2"/>
          </reference>
          <reference field="10" count="1" selected="0">
            <x v="0"/>
          </reference>
        </references>
      </pivotArea>
    </chartFormat>
    <chartFormat chart="2" format="94" series="1">
      <pivotArea type="data" outline="0" fieldPosition="0">
        <references count="2">
          <reference field="9" count="1" selected="0">
            <x v="3"/>
          </reference>
          <reference field="10" count="1" selected="0">
            <x v="0"/>
          </reference>
        </references>
      </pivotArea>
    </chartFormat>
    <chartFormat chart="2" format="95" series="1">
      <pivotArea type="data" outline="0" fieldPosition="0">
        <references count="2">
          <reference field="9" count="1" selected="0">
            <x v="4"/>
          </reference>
          <reference field="10" count="1" selected="0">
            <x v="0"/>
          </reference>
        </references>
      </pivotArea>
    </chartFormat>
    <chartFormat chart="2" format="96" series="1">
      <pivotArea type="data" outline="0" fieldPosition="0">
        <references count="2">
          <reference field="9" count="1" selected="0">
            <x v="5"/>
          </reference>
          <reference field="10" count="1" selected="0">
            <x v="0"/>
          </reference>
        </references>
      </pivotArea>
    </chartFormat>
    <chartFormat chart="2" format="97" series="1">
      <pivotArea type="data" outline="0" fieldPosition="0">
        <references count="2">
          <reference field="9" count="1" selected="0">
            <x v="6"/>
          </reference>
          <reference field="10" count="1" selected="0">
            <x v="0"/>
          </reference>
        </references>
      </pivotArea>
    </chartFormat>
    <chartFormat chart="2" format="98" series="1">
      <pivotArea type="data" outline="0" fieldPosition="0">
        <references count="2">
          <reference field="9" count="1" selected="0">
            <x v="7"/>
          </reference>
          <reference field="10" count="1" selected="0">
            <x v="0"/>
          </reference>
        </references>
      </pivotArea>
    </chartFormat>
    <chartFormat chart="2" format="139" series="1">
      <pivotArea type="data" outline="0" fieldPosition="0">
        <references count="2">
          <reference field="9" count="1" selected="0">
            <x v="0"/>
          </reference>
          <reference field="10" count="1" selected="0">
            <x v="1"/>
          </reference>
        </references>
      </pivotArea>
    </chartFormat>
    <chartFormat chart="2" format="140" series="1">
      <pivotArea type="data" outline="0" fieldPosition="0">
        <references count="2">
          <reference field="9" count="1" selected="0">
            <x v="1"/>
          </reference>
          <reference field="10" count="1" selected="0">
            <x v="1"/>
          </reference>
        </references>
      </pivotArea>
    </chartFormat>
    <chartFormat chart="2" format="141" series="1">
      <pivotArea type="data" outline="0" fieldPosition="0">
        <references count="2">
          <reference field="9" count="1" selected="0">
            <x v="2"/>
          </reference>
          <reference field="10" count="1" selected="0">
            <x v="1"/>
          </reference>
        </references>
      </pivotArea>
    </chartFormat>
    <chartFormat chart="2" format="142" series="1">
      <pivotArea type="data" outline="0" fieldPosition="0">
        <references count="2">
          <reference field="9" count="1" selected="0">
            <x v="3"/>
          </reference>
          <reference field="10" count="1" selected="0">
            <x v="1"/>
          </reference>
        </references>
      </pivotArea>
    </chartFormat>
    <chartFormat chart="2" format="143" series="1">
      <pivotArea type="data" outline="0" fieldPosition="0">
        <references count="2">
          <reference field="9" count="1" selected="0">
            <x v="4"/>
          </reference>
          <reference field="10" count="1" selected="0">
            <x v="1"/>
          </reference>
        </references>
      </pivotArea>
    </chartFormat>
    <chartFormat chart="2" format="144" series="1">
      <pivotArea type="data" outline="0" fieldPosition="0">
        <references count="2">
          <reference field="9" count="1" selected="0">
            <x v="5"/>
          </reference>
          <reference field="10" count="1" selected="0">
            <x v="1"/>
          </reference>
        </references>
      </pivotArea>
    </chartFormat>
    <chartFormat chart="2" format="145" series="1">
      <pivotArea type="data" outline="0" fieldPosition="0">
        <references count="2">
          <reference field="9" count="1" selected="0">
            <x v="6"/>
          </reference>
          <reference field="10" count="1" selected="0">
            <x v="1"/>
          </reference>
        </references>
      </pivotArea>
    </chartFormat>
    <chartFormat chart="2" format="146" series="1">
      <pivotArea type="data" outline="0" fieldPosition="0">
        <references count="2">
          <reference field="9" count="1" selected="0">
            <x v="7"/>
          </reference>
          <reference field="10" count="1" selected="0">
            <x v="1"/>
          </reference>
        </references>
      </pivotArea>
    </chartFormat>
    <chartFormat chart="2" format="147" series="1">
      <pivotArea type="data" outline="0" fieldPosition="0">
        <references count="2">
          <reference field="9" count="1" selected="0">
            <x v="0"/>
          </reference>
          <reference field="10" count="1" selected="0">
            <x v="2"/>
          </reference>
        </references>
      </pivotArea>
    </chartFormat>
    <chartFormat chart="2" format="148" series="1">
      <pivotArea type="data" outline="0" fieldPosition="0">
        <references count="2">
          <reference field="9" count="1" selected="0">
            <x v="1"/>
          </reference>
          <reference field="10" count="1" selected="0">
            <x v="2"/>
          </reference>
        </references>
      </pivotArea>
    </chartFormat>
    <chartFormat chart="2" format="149" series="1">
      <pivotArea type="data" outline="0" fieldPosition="0">
        <references count="2">
          <reference field="9" count="1" selected="0">
            <x v="2"/>
          </reference>
          <reference field="10" count="1" selected="0">
            <x v="2"/>
          </reference>
        </references>
      </pivotArea>
    </chartFormat>
    <chartFormat chart="2" format="150" series="1">
      <pivotArea type="data" outline="0" fieldPosition="0">
        <references count="2">
          <reference field="9" count="1" selected="0">
            <x v="3"/>
          </reference>
          <reference field="10" count="1" selected="0">
            <x v="2"/>
          </reference>
        </references>
      </pivotArea>
    </chartFormat>
    <chartFormat chart="2" format="151" series="1">
      <pivotArea type="data" outline="0" fieldPosition="0">
        <references count="2">
          <reference field="9" count="1" selected="0">
            <x v="4"/>
          </reference>
          <reference field="10" count="1" selected="0">
            <x v="2"/>
          </reference>
        </references>
      </pivotArea>
    </chartFormat>
    <chartFormat chart="2" format="152" series="1">
      <pivotArea type="data" outline="0" fieldPosition="0">
        <references count="2">
          <reference field="9" count="1" selected="0">
            <x v="5"/>
          </reference>
          <reference field="10" count="1" selected="0">
            <x v="2"/>
          </reference>
        </references>
      </pivotArea>
    </chartFormat>
    <chartFormat chart="2" format="153" series="1">
      <pivotArea type="data" outline="0" fieldPosition="0">
        <references count="2">
          <reference field="9" count="1" selected="0">
            <x v="6"/>
          </reference>
          <reference field="10" count="1" selected="0">
            <x v="2"/>
          </reference>
        </references>
      </pivotArea>
    </chartFormat>
    <chartFormat chart="2" format="154" series="1">
      <pivotArea type="data" outline="0" fieldPosition="0">
        <references count="2">
          <reference field="9" count="1" selected="0">
            <x v="7"/>
          </reference>
          <reference field="10" count="1" selected="0">
            <x v="2"/>
          </reference>
        </references>
      </pivotArea>
    </chartFormat>
    <chartFormat chart="2" format="155" series="1">
      <pivotArea type="data" outline="0" fieldPosition="0">
        <references count="3">
          <reference field="4294967294" count="1" selected="0">
            <x v="0"/>
          </reference>
          <reference field="9" count="1" selected="0">
            <x v="0"/>
          </reference>
          <reference field="10" count="1" selected="0">
            <x v="0"/>
          </reference>
        </references>
      </pivotArea>
    </chartFormat>
    <chartFormat chart="2" format="156">
      <pivotArea type="data" outline="0" fieldPosition="0">
        <references count="4">
          <reference field="4294967294" count="1" selected="0">
            <x v="0"/>
          </reference>
          <reference field="2" count="1" selected="0">
            <x v="0"/>
          </reference>
          <reference field="9" count="1" selected="0">
            <x v="0"/>
          </reference>
          <reference field="10" count="1" selected="0">
            <x v="0"/>
          </reference>
        </references>
      </pivotArea>
    </chartFormat>
    <chartFormat chart="2" format="157">
      <pivotArea type="data" outline="0" fieldPosition="0">
        <references count="4">
          <reference field="4294967294" count="1" selected="0">
            <x v="0"/>
          </reference>
          <reference field="2" count="1" selected="0">
            <x v="1"/>
          </reference>
          <reference field="9" count="1" selected="0">
            <x v="0"/>
          </reference>
          <reference field="10" count="1" selected="0">
            <x v="0"/>
          </reference>
        </references>
      </pivotArea>
    </chartFormat>
    <chartFormat chart="2" format="158">
      <pivotArea type="data" outline="0" fieldPosition="0">
        <references count="4">
          <reference field="4294967294" count="1" selected="0">
            <x v="0"/>
          </reference>
          <reference field="2" count="1" selected="0">
            <x v="2"/>
          </reference>
          <reference field="9" count="1" selected="0">
            <x v="0"/>
          </reference>
          <reference field="10" count="1" selected="0">
            <x v="0"/>
          </reference>
        </references>
      </pivotArea>
    </chartFormat>
    <chartFormat chart="2" format="159">
      <pivotArea type="data" outline="0" fieldPosition="0">
        <references count="4">
          <reference field="4294967294" count="1" selected="0">
            <x v="0"/>
          </reference>
          <reference field="2" count="1" selected="0">
            <x v="3"/>
          </reference>
          <reference field="9" count="1" selected="0">
            <x v="0"/>
          </reference>
          <reference field="10" count="1" selected="0">
            <x v="0"/>
          </reference>
        </references>
      </pivotArea>
    </chartFormat>
    <chartFormat chart="2" format="160">
      <pivotArea type="data" outline="0" fieldPosition="0">
        <references count="4">
          <reference field="4294967294" count="1" selected="0">
            <x v="0"/>
          </reference>
          <reference field="2" count="1" selected="0">
            <x v="4"/>
          </reference>
          <reference field="9" count="1" selected="0">
            <x v="0"/>
          </reference>
          <reference field="10" count="1" selected="0">
            <x v="0"/>
          </reference>
        </references>
      </pivotArea>
    </chartFormat>
    <chartFormat chart="2" format="161">
      <pivotArea type="data" outline="0" fieldPosition="0">
        <references count="4">
          <reference field="4294967294" count="1" selected="0">
            <x v="0"/>
          </reference>
          <reference field="2" count="1" selected="0">
            <x v="5"/>
          </reference>
          <reference field="9" count="1" selected="0">
            <x v="0"/>
          </reference>
          <reference field="10" count="1" selected="0">
            <x v="0"/>
          </reference>
        </references>
      </pivotArea>
    </chartFormat>
    <chartFormat chart="2" format="162">
      <pivotArea type="data" outline="0" fieldPosition="0">
        <references count="4">
          <reference field="4294967294" count="1" selected="0">
            <x v="0"/>
          </reference>
          <reference field="2" count="1" selected="0">
            <x v="6"/>
          </reference>
          <reference field="9" count="1" selected="0">
            <x v="0"/>
          </reference>
          <reference field="10" count="1" selected="0">
            <x v="0"/>
          </reference>
        </references>
      </pivotArea>
    </chartFormat>
    <chartFormat chart="2" format="163">
      <pivotArea type="data" outline="0" fieldPosition="0">
        <references count="4">
          <reference field="4294967294" count="1" selected="0">
            <x v="0"/>
          </reference>
          <reference field="2" count="1" selected="0">
            <x v="7"/>
          </reference>
          <reference field="9" count="1" selected="0">
            <x v="0"/>
          </reference>
          <reference field="10" count="1" selected="0">
            <x v="0"/>
          </reference>
        </references>
      </pivotArea>
    </chartFormat>
    <chartFormat chart="2" format="164">
      <pivotArea type="data" outline="0" fieldPosition="0">
        <references count="4">
          <reference field="4294967294" count="1" selected="0">
            <x v="0"/>
          </reference>
          <reference field="2" count="1" selected="0">
            <x v="8"/>
          </reference>
          <reference field="9" count="1" selected="0">
            <x v="0"/>
          </reference>
          <reference field="10" count="1" selected="0">
            <x v="0"/>
          </reference>
        </references>
      </pivotArea>
    </chartFormat>
    <chartFormat chart="2" format="165">
      <pivotArea type="data" outline="0" fieldPosition="0">
        <references count="4">
          <reference field="4294967294" count="1" selected="0">
            <x v="0"/>
          </reference>
          <reference field="2" count="1" selected="0">
            <x v="9"/>
          </reference>
          <reference field="9" count="1" selected="0">
            <x v="0"/>
          </reference>
          <reference field="10" count="1" selected="0">
            <x v="0"/>
          </reference>
        </references>
      </pivotArea>
    </chartFormat>
    <chartFormat chart="2" format="166">
      <pivotArea type="data" outline="0" fieldPosition="0">
        <references count="4">
          <reference field="4294967294" count="1" selected="0">
            <x v="0"/>
          </reference>
          <reference field="2" count="1" selected="0">
            <x v="10"/>
          </reference>
          <reference field="9" count="1" selected="0">
            <x v="0"/>
          </reference>
          <reference field="10" count="1" selected="0">
            <x v="0"/>
          </reference>
        </references>
      </pivotArea>
    </chartFormat>
    <chartFormat chart="2" format="167">
      <pivotArea type="data" outline="0" fieldPosition="0">
        <references count="4">
          <reference field="4294967294" count="1" selected="0">
            <x v="0"/>
          </reference>
          <reference field="2" count="1" selected="0">
            <x v="11"/>
          </reference>
          <reference field="9" count="1" selected="0">
            <x v="0"/>
          </reference>
          <reference field="10" count="1" selected="0">
            <x v="0"/>
          </reference>
        </references>
      </pivotArea>
    </chartFormat>
    <chartFormat chart="2" format="168">
      <pivotArea type="data" outline="0" fieldPosition="0">
        <references count="4">
          <reference field="4294967294" count="1" selected="0">
            <x v="0"/>
          </reference>
          <reference field="2" count="1" selected="0">
            <x v="12"/>
          </reference>
          <reference field="9" count="1" selected="0">
            <x v="0"/>
          </reference>
          <reference field="10" count="1" selected="0">
            <x v="0"/>
          </reference>
        </references>
      </pivotArea>
    </chartFormat>
    <chartFormat chart="2" format="169" series="1">
      <pivotArea type="data" outline="0" fieldPosition="0">
        <references count="3">
          <reference field="4294967294" count="1" selected="0">
            <x v="0"/>
          </reference>
          <reference field="9" count="1" selected="0">
            <x v="1"/>
          </reference>
          <reference field="10" count="1" selected="0">
            <x v="0"/>
          </reference>
        </references>
      </pivotArea>
    </chartFormat>
    <chartFormat chart="2" format="170">
      <pivotArea type="data" outline="0" fieldPosition="0">
        <references count="4">
          <reference field="4294967294" count="1" selected="0">
            <x v="0"/>
          </reference>
          <reference field="2" count="1" selected="0">
            <x v="0"/>
          </reference>
          <reference field="9" count="1" selected="0">
            <x v="1"/>
          </reference>
          <reference field="10" count="1" selected="0">
            <x v="0"/>
          </reference>
        </references>
      </pivotArea>
    </chartFormat>
    <chartFormat chart="2" format="171">
      <pivotArea type="data" outline="0" fieldPosition="0">
        <references count="4">
          <reference field="4294967294" count="1" selected="0">
            <x v="0"/>
          </reference>
          <reference field="2" count="1" selected="0">
            <x v="1"/>
          </reference>
          <reference field="9" count="1" selected="0">
            <x v="1"/>
          </reference>
          <reference field="10" count="1" selected="0">
            <x v="0"/>
          </reference>
        </references>
      </pivotArea>
    </chartFormat>
    <chartFormat chart="2" format="172">
      <pivotArea type="data" outline="0" fieldPosition="0">
        <references count="4">
          <reference field="4294967294" count="1" selected="0">
            <x v="0"/>
          </reference>
          <reference field="2" count="1" selected="0">
            <x v="2"/>
          </reference>
          <reference field="9" count="1" selected="0">
            <x v="1"/>
          </reference>
          <reference field="10" count="1" selected="0">
            <x v="0"/>
          </reference>
        </references>
      </pivotArea>
    </chartFormat>
    <chartFormat chart="2" format="173">
      <pivotArea type="data" outline="0" fieldPosition="0">
        <references count="4">
          <reference field="4294967294" count="1" selected="0">
            <x v="0"/>
          </reference>
          <reference field="2" count="1" selected="0">
            <x v="3"/>
          </reference>
          <reference field="9" count="1" selected="0">
            <x v="1"/>
          </reference>
          <reference field="10" count="1" selected="0">
            <x v="0"/>
          </reference>
        </references>
      </pivotArea>
    </chartFormat>
    <chartFormat chart="2" format="174">
      <pivotArea type="data" outline="0" fieldPosition="0">
        <references count="4">
          <reference field="4294967294" count="1" selected="0">
            <x v="0"/>
          </reference>
          <reference field="2" count="1" selected="0">
            <x v="4"/>
          </reference>
          <reference field="9" count="1" selected="0">
            <x v="1"/>
          </reference>
          <reference field="10" count="1" selected="0">
            <x v="0"/>
          </reference>
        </references>
      </pivotArea>
    </chartFormat>
    <chartFormat chart="2" format="175">
      <pivotArea type="data" outline="0" fieldPosition="0">
        <references count="4">
          <reference field="4294967294" count="1" selected="0">
            <x v="0"/>
          </reference>
          <reference field="2" count="1" selected="0">
            <x v="5"/>
          </reference>
          <reference field="9" count="1" selected="0">
            <x v="1"/>
          </reference>
          <reference field="10" count="1" selected="0">
            <x v="0"/>
          </reference>
        </references>
      </pivotArea>
    </chartFormat>
    <chartFormat chart="2" format="176">
      <pivotArea type="data" outline="0" fieldPosition="0">
        <references count="4">
          <reference field="4294967294" count="1" selected="0">
            <x v="0"/>
          </reference>
          <reference field="2" count="1" selected="0">
            <x v="6"/>
          </reference>
          <reference field="9" count="1" selected="0">
            <x v="1"/>
          </reference>
          <reference field="10" count="1" selected="0">
            <x v="0"/>
          </reference>
        </references>
      </pivotArea>
    </chartFormat>
    <chartFormat chart="2" format="177">
      <pivotArea type="data" outline="0" fieldPosition="0">
        <references count="4">
          <reference field="4294967294" count="1" selected="0">
            <x v="0"/>
          </reference>
          <reference field="2" count="1" selected="0">
            <x v="7"/>
          </reference>
          <reference field="9" count="1" selected="0">
            <x v="1"/>
          </reference>
          <reference field="10" count="1" selected="0">
            <x v="0"/>
          </reference>
        </references>
      </pivotArea>
    </chartFormat>
    <chartFormat chart="2" format="178">
      <pivotArea type="data" outline="0" fieldPosition="0">
        <references count="4">
          <reference field="4294967294" count="1" selected="0">
            <x v="0"/>
          </reference>
          <reference field="2" count="1" selected="0">
            <x v="8"/>
          </reference>
          <reference field="9" count="1" selected="0">
            <x v="1"/>
          </reference>
          <reference field="10" count="1" selected="0">
            <x v="0"/>
          </reference>
        </references>
      </pivotArea>
    </chartFormat>
    <chartFormat chart="2" format="179">
      <pivotArea type="data" outline="0" fieldPosition="0">
        <references count="4">
          <reference field="4294967294" count="1" selected="0">
            <x v="0"/>
          </reference>
          <reference field="2" count="1" selected="0">
            <x v="9"/>
          </reference>
          <reference field="9" count="1" selected="0">
            <x v="1"/>
          </reference>
          <reference field="10" count="1" selected="0">
            <x v="0"/>
          </reference>
        </references>
      </pivotArea>
    </chartFormat>
    <chartFormat chart="2" format="180">
      <pivotArea type="data" outline="0" fieldPosition="0">
        <references count="4">
          <reference field="4294967294" count="1" selected="0">
            <x v="0"/>
          </reference>
          <reference field="2" count="1" selected="0">
            <x v="10"/>
          </reference>
          <reference field="9" count="1" selected="0">
            <x v="1"/>
          </reference>
          <reference field="10" count="1" selected="0">
            <x v="0"/>
          </reference>
        </references>
      </pivotArea>
    </chartFormat>
    <chartFormat chart="2" format="181">
      <pivotArea type="data" outline="0" fieldPosition="0">
        <references count="4">
          <reference field="4294967294" count="1" selected="0">
            <x v="0"/>
          </reference>
          <reference field="2" count="1" selected="0">
            <x v="11"/>
          </reference>
          <reference field="9" count="1" selected="0">
            <x v="1"/>
          </reference>
          <reference field="10" count="1" selected="0">
            <x v="0"/>
          </reference>
        </references>
      </pivotArea>
    </chartFormat>
    <chartFormat chart="2" format="182">
      <pivotArea type="data" outline="0" fieldPosition="0">
        <references count="4">
          <reference field="4294967294" count="1" selected="0">
            <x v="0"/>
          </reference>
          <reference field="2" count="1" selected="0">
            <x v="12"/>
          </reference>
          <reference field="9" count="1" selected="0">
            <x v="1"/>
          </reference>
          <reference field="10" count="1" selected="0">
            <x v="0"/>
          </reference>
        </references>
      </pivotArea>
    </chartFormat>
    <chartFormat chart="2" format="183" series="1">
      <pivotArea type="data" outline="0" fieldPosition="0">
        <references count="3">
          <reference field="4294967294" count="1" selected="0">
            <x v="0"/>
          </reference>
          <reference field="9" count="1" selected="0">
            <x v="2"/>
          </reference>
          <reference field="10" count="1" selected="0">
            <x v="0"/>
          </reference>
        </references>
      </pivotArea>
    </chartFormat>
    <chartFormat chart="2" format="184">
      <pivotArea type="data" outline="0" fieldPosition="0">
        <references count="4">
          <reference field="4294967294" count="1" selected="0">
            <x v="0"/>
          </reference>
          <reference field="2" count="1" selected="0">
            <x v="0"/>
          </reference>
          <reference field="9" count="1" selected="0">
            <x v="2"/>
          </reference>
          <reference field="10" count="1" selected="0">
            <x v="0"/>
          </reference>
        </references>
      </pivotArea>
    </chartFormat>
    <chartFormat chart="2" format="185">
      <pivotArea type="data" outline="0" fieldPosition="0">
        <references count="4">
          <reference field="4294967294" count="1" selected="0">
            <x v="0"/>
          </reference>
          <reference field="2" count="1" selected="0">
            <x v="1"/>
          </reference>
          <reference field="9" count="1" selected="0">
            <x v="2"/>
          </reference>
          <reference field="10" count="1" selected="0">
            <x v="0"/>
          </reference>
        </references>
      </pivotArea>
    </chartFormat>
    <chartFormat chart="2" format="186">
      <pivotArea type="data" outline="0" fieldPosition="0">
        <references count="4">
          <reference field="4294967294" count="1" selected="0">
            <x v="0"/>
          </reference>
          <reference field="2" count="1" selected="0">
            <x v="2"/>
          </reference>
          <reference field="9" count="1" selected="0">
            <x v="2"/>
          </reference>
          <reference field="10" count="1" selected="0">
            <x v="0"/>
          </reference>
        </references>
      </pivotArea>
    </chartFormat>
    <chartFormat chart="2" format="187">
      <pivotArea type="data" outline="0" fieldPosition="0">
        <references count="4">
          <reference field="4294967294" count="1" selected="0">
            <x v="0"/>
          </reference>
          <reference field="2" count="1" selected="0">
            <x v="3"/>
          </reference>
          <reference field="9" count="1" selected="0">
            <x v="2"/>
          </reference>
          <reference field="10" count="1" selected="0">
            <x v="0"/>
          </reference>
        </references>
      </pivotArea>
    </chartFormat>
    <chartFormat chart="2" format="188">
      <pivotArea type="data" outline="0" fieldPosition="0">
        <references count="4">
          <reference field="4294967294" count="1" selected="0">
            <x v="0"/>
          </reference>
          <reference field="2" count="1" selected="0">
            <x v="4"/>
          </reference>
          <reference field="9" count="1" selected="0">
            <x v="2"/>
          </reference>
          <reference field="10" count="1" selected="0">
            <x v="0"/>
          </reference>
        </references>
      </pivotArea>
    </chartFormat>
    <chartFormat chart="2" format="189">
      <pivotArea type="data" outline="0" fieldPosition="0">
        <references count="4">
          <reference field="4294967294" count="1" selected="0">
            <x v="0"/>
          </reference>
          <reference field="2" count="1" selected="0">
            <x v="5"/>
          </reference>
          <reference field="9" count="1" selected="0">
            <x v="2"/>
          </reference>
          <reference field="10" count="1" selected="0">
            <x v="0"/>
          </reference>
        </references>
      </pivotArea>
    </chartFormat>
    <chartFormat chart="2" format="190">
      <pivotArea type="data" outline="0" fieldPosition="0">
        <references count="4">
          <reference field="4294967294" count="1" selected="0">
            <x v="0"/>
          </reference>
          <reference field="2" count="1" selected="0">
            <x v="6"/>
          </reference>
          <reference field="9" count="1" selected="0">
            <x v="2"/>
          </reference>
          <reference field="10" count="1" selected="0">
            <x v="0"/>
          </reference>
        </references>
      </pivotArea>
    </chartFormat>
    <chartFormat chart="2" format="191">
      <pivotArea type="data" outline="0" fieldPosition="0">
        <references count="4">
          <reference field="4294967294" count="1" selected="0">
            <x v="0"/>
          </reference>
          <reference field="2" count="1" selected="0">
            <x v="7"/>
          </reference>
          <reference field="9" count="1" selected="0">
            <x v="2"/>
          </reference>
          <reference field="10" count="1" selected="0">
            <x v="0"/>
          </reference>
        </references>
      </pivotArea>
    </chartFormat>
    <chartFormat chart="2" format="192">
      <pivotArea type="data" outline="0" fieldPosition="0">
        <references count="4">
          <reference field="4294967294" count="1" selected="0">
            <x v="0"/>
          </reference>
          <reference field="2" count="1" selected="0">
            <x v="8"/>
          </reference>
          <reference field="9" count="1" selected="0">
            <x v="2"/>
          </reference>
          <reference field="10" count="1" selected="0">
            <x v="0"/>
          </reference>
        </references>
      </pivotArea>
    </chartFormat>
    <chartFormat chart="2" format="193">
      <pivotArea type="data" outline="0" fieldPosition="0">
        <references count="4">
          <reference field="4294967294" count="1" selected="0">
            <x v="0"/>
          </reference>
          <reference field="2" count="1" selected="0">
            <x v="9"/>
          </reference>
          <reference field="9" count="1" selected="0">
            <x v="2"/>
          </reference>
          <reference field="10" count="1" selected="0">
            <x v="0"/>
          </reference>
        </references>
      </pivotArea>
    </chartFormat>
    <chartFormat chart="2" format="194">
      <pivotArea type="data" outline="0" fieldPosition="0">
        <references count="4">
          <reference field="4294967294" count="1" selected="0">
            <x v="0"/>
          </reference>
          <reference field="2" count="1" selected="0">
            <x v="10"/>
          </reference>
          <reference field="9" count="1" selected="0">
            <x v="2"/>
          </reference>
          <reference field="10" count="1" selected="0">
            <x v="0"/>
          </reference>
        </references>
      </pivotArea>
    </chartFormat>
    <chartFormat chart="2" format="195">
      <pivotArea type="data" outline="0" fieldPosition="0">
        <references count="4">
          <reference field="4294967294" count="1" selected="0">
            <x v="0"/>
          </reference>
          <reference field="2" count="1" selected="0">
            <x v="11"/>
          </reference>
          <reference field="9" count="1" selected="0">
            <x v="2"/>
          </reference>
          <reference field="10" count="1" selected="0">
            <x v="0"/>
          </reference>
        </references>
      </pivotArea>
    </chartFormat>
    <chartFormat chart="2" format="196">
      <pivotArea type="data" outline="0" fieldPosition="0">
        <references count="4">
          <reference field="4294967294" count="1" selected="0">
            <x v="0"/>
          </reference>
          <reference field="2" count="1" selected="0">
            <x v="12"/>
          </reference>
          <reference field="9" count="1" selected="0">
            <x v="2"/>
          </reference>
          <reference field="10" count="1" selected="0">
            <x v="0"/>
          </reference>
        </references>
      </pivotArea>
    </chartFormat>
    <chartFormat chart="2" format="197" series="1">
      <pivotArea type="data" outline="0" fieldPosition="0">
        <references count="3">
          <reference field="4294967294" count="1" selected="0">
            <x v="0"/>
          </reference>
          <reference field="9" count="1" selected="0">
            <x v="3"/>
          </reference>
          <reference field="10" count="1" selected="0">
            <x v="0"/>
          </reference>
        </references>
      </pivotArea>
    </chartFormat>
    <chartFormat chart="2" format="198">
      <pivotArea type="data" outline="0" fieldPosition="0">
        <references count="4">
          <reference field="4294967294" count="1" selected="0">
            <x v="0"/>
          </reference>
          <reference field="2" count="1" selected="0">
            <x v="0"/>
          </reference>
          <reference field="9" count="1" selected="0">
            <x v="3"/>
          </reference>
          <reference field="10" count="1" selected="0">
            <x v="0"/>
          </reference>
        </references>
      </pivotArea>
    </chartFormat>
    <chartFormat chart="2" format="199">
      <pivotArea type="data" outline="0" fieldPosition="0">
        <references count="4">
          <reference field="4294967294" count="1" selected="0">
            <x v="0"/>
          </reference>
          <reference field="2" count="1" selected="0">
            <x v="1"/>
          </reference>
          <reference field="9" count="1" selected="0">
            <x v="3"/>
          </reference>
          <reference field="10" count="1" selected="0">
            <x v="0"/>
          </reference>
        </references>
      </pivotArea>
    </chartFormat>
    <chartFormat chart="2" format="200">
      <pivotArea type="data" outline="0" fieldPosition="0">
        <references count="4">
          <reference field="4294967294" count="1" selected="0">
            <x v="0"/>
          </reference>
          <reference field="2" count="1" selected="0">
            <x v="2"/>
          </reference>
          <reference field="9" count="1" selected="0">
            <x v="3"/>
          </reference>
          <reference field="10" count="1" selected="0">
            <x v="0"/>
          </reference>
        </references>
      </pivotArea>
    </chartFormat>
    <chartFormat chart="2" format="201">
      <pivotArea type="data" outline="0" fieldPosition="0">
        <references count="4">
          <reference field="4294967294" count="1" selected="0">
            <x v="0"/>
          </reference>
          <reference field="2" count="1" selected="0">
            <x v="3"/>
          </reference>
          <reference field="9" count="1" selected="0">
            <x v="3"/>
          </reference>
          <reference field="10" count="1" selected="0">
            <x v="0"/>
          </reference>
        </references>
      </pivotArea>
    </chartFormat>
    <chartFormat chart="2" format="202">
      <pivotArea type="data" outline="0" fieldPosition="0">
        <references count="4">
          <reference field="4294967294" count="1" selected="0">
            <x v="0"/>
          </reference>
          <reference field="2" count="1" selected="0">
            <x v="4"/>
          </reference>
          <reference field="9" count="1" selected="0">
            <x v="3"/>
          </reference>
          <reference field="10" count="1" selected="0">
            <x v="0"/>
          </reference>
        </references>
      </pivotArea>
    </chartFormat>
    <chartFormat chart="2" format="203">
      <pivotArea type="data" outline="0" fieldPosition="0">
        <references count="4">
          <reference field="4294967294" count="1" selected="0">
            <x v="0"/>
          </reference>
          <reference field="2" count="1" selected="0">
            <x v="5"/>
          </reference>
          <reference field="9" count="1" selected="0">
            <x v="3"/>
          </reference>
          <reference field="10" count="1" selected="0">
            <x v="0"/>
          </reference>
        </references>
      </pivotArea>
    </chartFormat>
    <chartFormat chart="2" format="204">
      <pivotArea type="data" outline="0" fieldPosition="0">
        <references count="4">
          <reference field="4294967294" count="1" selected="0">
            <x v="0"/>
          </reference>
          <reference field="2" count="1" selected="0">
            <x v="6"/>
          </reference>
          <reference field="9" count="1" selected="0">
            <x v="3"/>
          </reference>
          <reference field="10" count="1" selected="0">
            <x v="0"/>
          </reference>
        </references>
      </pivotArea>
    </chartFormat>
    <chartFormat chart="2" format="205">
      <pivotArea type="data" outline="0" fieldPosition="0">
        <references count="4">
          <reference field="4294967294" count="1" selected="0">
            <x v="0"/>
          </reference>
          <reference field="2" count="1" selected="0">
            <x v="7"/>
          </reference>
          <reference field="9" count="1" selected="0">
            <x v="3"/>
          </reference>
          <reference field="10" count="1" selected="0">
            <x v="0"/>
          </reference>
        </references>
      </pivotArea>
    </chartFormat>
    <chartFormat chart="2" format="206">
      <pivotArea type="data" outline="0" fieldPosition="0">
        <references count="4">
          <reference field="4294967294" count="1" selected="0">
            <x v="0"/>
          </reference>
          <reference field="2" count="1" selected="0">
            <x v="8"/>
          </reference>
          <reference field="9" count="1" selected="0">
            <x v="3"/>
          </reference>
          <reference field="10" count="1" selected="0">
            <x v="0"/>
          </reference>
        </references>
      </pivotArea>
    </chartFormat>
    <chartFormat chart="2" format="207">
      <pivotArea type="data" outline="0" fieldPosition="0">
        <references count="4">
          <reference field="4294967294" count="1" selected="0">
            <x v="0"/>
          </reference>
          <reference field="2" count="1" selected="0">
            <x v="9"/>
          </reference>
          <reference field="9" count="1" selected="0">
            <x v="3"/>
          </reference>
          <reference field="10" count="1" selected="0">
            <x v="0"/>
          </reference>
        </references>
      </pivotArea>
    </chartFormat>
    <chartFormat chart="2" format="208">
      <pivotArea type="data" outline="0" fieldPosition="0">
        <references count="4">
          <reference field="4294967294" count="1" selected="0">
            <x v="0"/>
          </reference>
          <reference field="2" count="1" selected="0">
            <x v="10"/>
          </reference>
          <reference field="9" count="1" selected="0">
            <x v="3"/>
          </reference>
          <reference field="10" count="1" selected="0">
            <x v="0"/>
          </reference>
        </references>
      </pivotArea>
    </chartFormat>
    <chartFormat chart="2" format="209">
      <pivotArea type="data" outline="0" fieldPosition="0">
        <references count="4">
          <reference field="4294967294" count="1" selected="0">
            <x v="0"/>
          </reference>
          <reference field="2" count="1" selected="0">
            <x v="11"/>
          </reference>
          <reference field="9" count="1" selected="0">
            <x v="3"/>
          </reference>
          <reference field="10" count="1" selected="0">
            <x v="0"/>
          </reference>
        </references>
      </pivotArea>
    </chartFormat>
    <chartFormat chart="2" format="210">
      <pivotArea type="data" outline="0" fieldPosition="0">
        <references count="4">
          <reference field="4294967294" count="1" selected="0">
            <x v="0"/>
          </reference>
          <reference field="2" count="1" selected="0">
            <x v="12"/>
          </reference>
          <reference field="9" count="1" selected="0">
            <x v="3"/>
          </reference>
          <reference field="10" count="1" selected="0">
            <x v="0"/>
          </reference>
        </references>
      </pivotArea>
    </chartFormat>
    <chartFormat chart="2" format="211" series="1">
      <pivotArea type="data" outline="0" fieldPosition="0">
        <references count="3">
          <reference field="4294967294" count="1" selected="0">
            <x v="0"/>
          </reference>
          <reference field="9" count="1" selected="0">
            <x v="4"/>
          </reference>
          <reference field="10" count="1" selected="0">
            <x v="0"/>
          </reference>
        </references>
      </pivotArea>
    </chartFormat>
    <chartFormat chart="2" format="212">
      <pivotArea type="data" outline="0" fieldPosition="0">
        <references count="4">
          <reference field="4294967294" count="1" selected="0">
            <x v="0"/>
          </reference>
          <reference field="2" count="1" selected="0">
            <x v="0"/>
          </reference>
          <reference field="9" count="1" selected="0">
            <x v="4"/>
          </reference>
          <reference field="10" count="1" selected="0">
            <x v="0"/>
          </reference>
        </references>
      </pivotArea>
    </chartFormat>
    <chartFormat chart="2" format="213">
      <pivotArea type="data" outline="0" fieldPosition="0">
        <references count="4">
          <reference field="4294967294" count="1" selected="0">
            <x v="0"/>
          </reference>
          <reference field="2" count="1" selected="0">
            <x v="1"/>
          </reference>
          <reference field="9" count="1" selected="0">
            <x v="4"/>
          </reference>
          <reference field="10" count="1" selected="0">
            <x v="0"/>
          </reference>
        </references>
      </pivotArea>
    </chartFormat>
    <chartFormat chart="2" format="214">
      <pivotArea type="data" outline="0" fieldPosition="0">
        <references count="4">
          <reference field="4294967294" count="1" selected="0">
            <x v="0"/>
          </reference>
          <reference field="2" count="1" selected="0">
            <x v="2"/>
          </reference>
          <reference field="9" count="1" selected="0">
            <x v="4"/>
          </reference>
          <reference field="10" count="1" selected="0">
            <x v="0"/>
          </reference>
        </references>
      </pivotArea>
    </chartFormat>
    <chartFormat chart="2" format="215">
      <pivotArea type="data" outline="0" fieldPosition="0">
        <references count="4">
          <reference field="4294967294" count="1" selected="0">
            <x v="0"/>
          </reference>
          <reference field="2" count="1" selected="0">
            <x v="3"/>
          </reference>
          <reference field="9" count="1" selected="0">
            <x v="4"/>
          </reference>
          <reference field="10" count="1" selected="0">
            <x v="0"/>
          </reference>
        </references>
      </pivotArea>
    </chartFormat>
    <chartFormat chart="2" format="216">
      <pivotArea type="data" outline="0" fieldPosition="0">
        <references count="4">
          <reference field="4294967294" count="1" selected="0">
            <x v="0"/>
          </reference>
          <reference field="2" count="1" selected="0">
            <x v="4"/>
          </reference>
          <reference field="9" count="1" selected="0">
            <x v="4"/>
          </reference>
          <reference field="10" count="1" selected="0">
            <x v="0"/>
          </reference>
        </references>
      </pivotArea>
    </chartFormat>
    <chartFormat chart="2" format="217">
      <pivotArea type="data" outline="0" fieldPosition="0">
        <references count="4">
          <reference field="4294967294" count="1" selected="0">
            <x v="0"/>
          </reference>
          <reference field="2" count="1" selected="0">
            <x v="5"/>
          </reference>
          <reference field="9" count="1" selected="0">
            <x v="4"/>
          </reference>
          <reference field="10" count="1" selected="0">
            <x v="0"/>
          </reference>
        </references>
      </pivotArea>
    </chartFormat>
    <chartFormat chart="2" format="218">
      <pivotArea type="data" outline="0" fieldPosition="0">
        <references count="4">
          <reference field="4294967294" count="1" selected="0">
            <x v="0"/>
          </reference>
          <reference field="2" count="1" selected="0">
            <x v="6"/>
          </reference>
          <reference field="9" count="1" selected="0">
            <x v="4"/>
          </reference>
          <reference field="10" count="1" selected="0">
            <x v="0"/>
          </reference>
        </references>
      </pivotArea>
    </chartFormat>
    <chartFormat chart="2" format="219">
      <pivotArea type="data" outline="0" fieldPosition="0">
        <references count="4">
          <reference field="4294967294" count="1" selected="0">
            <x v="0"/>
          </reference>
          <reference field="2" count="1" selected="0">
            <x v="7"/>
          </reference>
          <reference field="9" count="1" selected="0">
            <x v="4"/>
          </reference>
          <reference field="10" count="1" selected="0">
            <x v="0"/>
          </reference>
        </references>
      </pivotArea>
    </chartFormat>
    <chartFormat chart="2" format="220">
      <pivotArea type="data" outline="0" fieldPosition="0">
        <references count="4">
          <reference field="4294967294" count="1" selected="0">
            <x v="0"/>
          </reference>
          <reference field="2" count="1" selected="0">
            <x v="8"/>
          </reference>
          <reference field="9" count="1" selected="0">
            <x v="4"/>
          </reference>
          <reference field="10" count="1" selected="0">
            <x v="0"/>
          </reference>
        </references>
      </pivotArea>
    </chartFormat>
    <chartFormat chart="2" format="221">
      <pivotArea type="data" outline="0" fieldPosition="0">
        <references count="4">
          <reference field="4294967294" count="1" selected="0">
            <x v="0"/>
          </reference>
          <reference field="2" count="1" selected="0">
            <x v="9"/>
          </reference>
          <reference field="9" count="1" selected="0">
            <x v="4"/>
          </reference>
          <reference field="10" count="1" selected="0">
            <x v="0"/>
          </reference>
        </references>
      </pivotArea>
    </chartFormat>
    <chartFormat chart="2" format="222">
      <pivotArea type="data" outline="0" fieldPosition="0">
        <references count="4">
          <reference field="4294967294" count="1" selected="0">
            <x v="0"/>
          </reference>
          <reference field="2" count="1" selected="0">
            <x v="10"/>
          </reference>
          <reference field="9" count="1" selected="0">
            <x v="4"/>
          </reference>
          <reference field="10" count="1" selected="0">
            <x v="0"/>
          </reference>
        </references>
      </pivotArea>
    </chartFormat>
    <chartFormat chart="2" format="223">
      <pivotArea type="data" outline="0" fieldPosition="0">
        <references count="4">
          <reference field="4294967294" count="1" selected="0">
            <x v="0"/>
          </reference>
          <reference field="2" count="1" selected="0">
            <x v="11"/>
          </reference>
          <reference field="9" count="1" selected="0">
            <x v="4"/>
          </reference>
          <reference field="10" count="1" selected="0">
            <x v="0"/>
          </reference>
        </references>
      </pivotArea>
    </chartFormat>
    <chartFormat chart="2" format="224">
      <pivotArea type="data" outline="0" fieldPosition="0">
        <references count="4">
          <reference field="4294967294" count="1" selected="0">
            <x v="0"/>
          </reference>
          <reference field="2" count="1" selected="0">
            <x v="12"/>
          </reference>
          <reference field="9" count="1" selected="0">
            <x v="4"/>
          </reference>
          <reference field="10" count="1" selected="0">
            <x v="0"/>
          </reference>
        </references>
      </pivotArea>
    </chartFormat>
    <chartFormat chart="2" format="225" series="1">
      <pivotArea type="data" outline="0" fieldPosition="0">
        <references count="3">
          <reference field="4294967294" count="1" selected="0">
            <x v="0"/>
          </reference>
          <reference field="9" count="1" selected="0">
            <x v="5"/>
          </reference>
          <reference field="10" count="1" selected="0">
            <x v="0"/>
          </reference>
        </references>
      </pivotArea>
    </chartFormat>
    <chartFormat chart="2" format="226">
      <pivotArea type="data" outline="0" fieldPosition="0">
        <references count="4">
          <reference field="4294967294" count="1" selected="0">
            <x v="0"/>
          </reference>
          <reference field="2" count="1" selected="0">
            <x v="0"/>
          </reference>
          <reference field="9" count="1" selected="0">
            <x v="5"/>
          </reference>
          <reference field="10" count="1" selected="0">
            <x v="0"/>
          </reference>
        </references>
      </pivotArea>
    </chartFormat>
    <chartFormat chart="2" format="227">
      <pivotArea type="data" outline="0" fieldPosition="0">
        <references count="4">
          <reference field="4294967294" count="1" selected="0">
            <x v="0"/>
          </reference>
          <reference field="2" count="1" selected="0">
            <x v="1"/>
          </reference>
          <reference field="9" count="1" selected="0">
            <x v="5"/>
          </reference>
          <reference field="10" count="1" selected="0">
            <x v="0"/>
          </reference>
        </references>
      </pivotArea>
    </chartFormat>
    <chartFormat chart="2" format="228">
      <pivotArea type="data" outline="0" fieldPosition="0">
        <references count="4">
          <reference field="4294967294" count="1" selected="0">
            <x v="0"/>
          </reference>
          <reference field="2" count="1" selected="0">
            <x v="2"/>
          </reference>
          <reference field="9" count="1" selected="0">
            <x v="5"/>
          </reference>
          <reference field="10" count="1" selected="0">
            <x v="0"/>
          </reference>
        </references>
      </pivotArea>
    </chartFormat>
    <chartFormat chart="2" format="229">
      <pivotArea type="data" outline="0" fieldPosition="0">
        <references count="4">
          <reference field="4294967294" count="1" selected="0">
            <x v="0"/>
          </reference>
          <reference field="2" count="1" selected="0">
            <x v="3"/>
          </reference>
          <reference field="9" count="1" selected="0">
            <x v="5"/>
          </reference>
          <reference field="10" count="1" selected="0">
            <x v="0"/>
          </reference>
        </references>
      </pivotArea>
    </chartFormat>
    <chartFormat chart="2" format="230">
      <pivotArea type="data" outline="0" fieldPosition="0">
        <references count="4">
          <reference field="4294967294" count="1" selected="0">
            <x v="0"/>
          </reference>
          <reference field="2" count="1" selected="0">
            <x v="4"/>
          </reference>
          <reference field="9" count="1" selected="0">
            <x v="5"/>
          </reference>
          <reference field="10" count="1" selected="0">
            <x v="0"/>
          </reference>
        </references>
      </pivotArea>
    </chartFormat>
    <chartFormat chart="2" format="231">
      <pivotArea type="data" outline="0" fieldPosition="0">
        <references count="4">
          <reference field="4294967294" count="1" selected="0">
            <x v="0"/>
          </reference>
          <reference field="2" count="1" selected="0">
            <x v="5"/>
          </reference>
          <reference field="9" count="1" selected="0">
            <x v="5"/>
          </reference>
          <reference field="10" count="1" selected="0">
            <x v="0"/>
          </reference>
        </references>
      </pivotArea>
    </chartFormat>
    <chartFormat chart="2" format="232">
      <pivotArea type="data" outline="0" fieldPosition="0">
        <references count="4">
          <reference field="4294967294" count="1" selected="0">
            <x v="0"/>
          </reference>
          <reference field="2" count="1" selected="0">
            <x v="6"/>
          </reference>
          <reference field="9" count="1" selected="0">
            <x v="5"/>
          </reference>
          <reference field="10" count="1" selected="0">
            <x v="0"/>
          </reference>
        </references>
      </pivotArea>
    </chartFormat>
    <chartFormat chart="2" format="233">
      <pivotArea type="data" outline="0" fieldPosition="0">
        <references count="4">
          <reference field="4294967294" count="1" selected="0">
            <x v="0"/>
          </reference>
          <reference field="2" count="1" selected="0">
            <x v="7"/>
          </reference>
          <reference field="9" count="1" selected="0">
            <x v="5"/>
          </reference>
          <reference field="10" count="1" selected="0">
            <x v="0"/>
          </reference>
        </references>
      </pivotArea>
    </chartFormat>
    <chartFormat chart="2" format="234">
      <pivotArea type="data" outline="0" fieldPosition="0">
        <references count="4">
          <reference field="4294967294" count="1" selected="0">
            <x v="0"/>
          </reference>
          <reference field="2" count="1" selected="0">
            <x v="8"/>
          </reference>
          <reference field="9" count="1" selected="0">
            <x v="5"/>
          </reference>
          <reference field="10" count="1" selected="0">
            <x v="0"/>
          </reference>
        </references>
      </pivotArea>
    </chartFormat>
    <chartFormat chart="2" format="235">
      <pivotArea type="data" outline="0" fieldPosition="0">
        <references count="4">
          <reference field="4294967294" count="1" selected="0">
            <x v="0"/>
          </reference>
          <reference field="2" count="1" selected="0">
            <x v="9"/>
          </reference>
          <reference field="9" count="1" selected="0">
            <x v="5"/>
          </reference>
          <reference field="10" count="1" selected="0">
            <x v="0"/>
          </reference>
        </references>
      </pivotArea>
    </chartFormat>
    <chartFormat chart="2" format="236">
      <pivotArea type="data" outline="0" fieldPosition="0">
        <references count="4">
          <reference field="4294967294" count="1" selected="0">
            <x v="0"/>
          </reference>
          <reference field="2" count="1" selected="0">
            <x v="10"/>
          </reference>
          <reference field="9" count="1" selected="0">
            <x v="5"/>
          </reference>
          <reference field="10" count="1" selected="0">
            <x v="0"/>
          </reference>
        </references>
      </pivotArea>
    </chartFormat>
    <chartFormat chart="2" format="237">
      <pivotArea type="data" outline="0" fieldPosition="0">
        <references count="4">
          <reference field="4294967294" count="1" selected="0">
            <x v="0"/>
          </reference>
          <reference field="2" count="1" selected="0">
            <x v="11"/>
          </reference>
          <reference field="9" count="1" selected="0">
            <x v="5"/>
          </reference>
          <reference field="10" count="1" selected="0">
            <x v="0"/>
          </reference>
        </references>
      </pivotArea>
    </chartFormat>
    <chartFormat chart="2" format="238">
      <pivotArea type="data" outline="0" fieldPosition="0">
        <references count="4">
          <reference field="4294967294" count="1" selected="0">
            <x v="0"/>
          </reference>
          <reference field="2" count="1" selected="0">
            <x v="12"/>
          </reference>
          <reference field="9" count="1" selected="0">
            <x v="5"/>
          </reference>
          <reference field="10" count="1" selected="0">
            <x v="0"/>
          </reference>
        </references>
      </pivotArea>
    </chartFormat>
    <chartFormat chart="2" format="239" series="1">
      <pivotArea type="data" outline="0" fieldPosition="0">
        <references count="3">
          <reference field="4294967294" count="1" selected="0">
            <x v="0"/>
          </reference>
          <reference field="9" count="1" selected="0">
            <x v="6"/>
          </reference>
          <reference field="10" count="1" selected="0">
            <x v="0"/>
          </reference>
        </references>
      </pivotArea>
    </chartFormat>
    <chartFormat chart="2" format="240">
      <pivotArea type="data" outline="0" fieldPosition="0">
        <references count="4">
          <reference field="4294967294" count="1" selected="0">
            <x v="0"/>
          </reference>
          <reference field="2" count="1" selected="0">
            <x v="0"/>
          </reference>
          <reference field="9" count="1" selected="0">
            <x v="6"/>
          </reference>
          <reference field="10" count="1" selected="0">
            <x v="0"/>
          </reference>
        </references>
      </pivotArea>
    </chartFormat>
    <chartFormat chart="2" format="241">
      <pivotArea type="data" outline="0" fieldPosition="0">
        <references count="4">
          <reference field="4294967294" count="1" selected="0">
            <x v="0"/>
          </reference>
          <reference field="2" count="1" selected="0">
            <x v="1"/>
          </reference>
          <reference field="9" count="1" selected="0">
            <x v="6"/>
          </reference>
          <reference field="10" count="1" selected="0">
            <x v="0"/>
          </reference>
        </references>
      </pivotArea>
    </chartFormat>
    <chartFormat chart="2" format="242">
      <pivotArea type="data" outline="0" fieldPosition="0">
        <references count="4">
          <reference field="4294967294" count="1" selected="0">
            <x v="0"/>
          </reference>
          <reference field="2" count="1" selected="0">
            <x v="2"/>
          </reference>
          <reference field="9" count="1" selected="0">
            <x v="6"/>
          </reference>
          <reference field="10" count="1" selected="0">
            <x v="0"/>
          </reference>
        </references>
      </pivotArea>
    </chartFormat>
    <chartFormat chart="2" format="243">
      <pivotArea type="data" outline="0" fieldPosition="0">
        <references count="4">
          <reference field="4294967294" count="1" selected="0">
            <x v="0"/>
          </reference>
          <reference field="2" count="1" selected="0">
            <x v="3"/>
          </reference>
          <reference field="9" count="1" selected="0">
            <x v="6"/>
          </reference>
          <reference field="10" count="1" selected="0">
            <x v="0"/>
          </reference>
        </references>
      </pivotArea>
    </chartFormat>
    <chartFormat chart="2" format="244">
      <pivotArea type="data" outline="0" fieldPosition="0">
        <references count="4">
          <reference field="4294967294" count="1" selected="0">
            <x v="0"/>
          </reference>
          <reference field="2" count="1" selected="0">
            <x v="4"/>
          </reference>
          <reference field="9" count="1" selected="0">
            <x v="6"/>
          </reference>
          <reference field="10" count="1" selected="0">
            <x v="0"/>
          </reference>
        </references>
      </pivotArea>
    </chartFormat>
    <chartFormat chart="2" format="245">
      <pivotArea type="data" outline="0" fieldPosition="0">
        <references count="4">
          <reference field="4294967294" count="1" selected="0">
            <x v="0"/>
          </reference>
          <reference field="2" count="1" selected="0">
            <x v="5"/>
          </reference>
          <reference field="9" count="1" selected="0">
            <x v="6"/>
          </reference>
          <reference field="10" count="1" selected="0">
            <x v="0"/>
          </reference>
        </references>
      </pivotArea>
    </chartFormat>
    <chartFormat chart="2" format="246">
      <pivotArea type="data" outline="0" fieldPosition="0">
        <references count="4">
          <reference field="4294967294" count="1" selected="0">
            <x v="0"/>
          </reference>
          <reference field="2" count="1" selected="0">
            <x v="6"/>
          </reference>
          <reference field="9" count="1" selected="0">
            <x v="6"/>
          </reference>
          <reference field="10" count="1" selected="0">
            <x v="0"/>
          </reference>
        </references>
      </pivotArea>
    </chartFormat>
    <chartFormat chart="2" format="247">
      <pivotArea type="data" outline="0" fieldPosition="0">
        <references count="4">
          <reference field="4294967294" count="1" selected="0">
            <x v="0"/>
          </reference>
          <reference field="2" count="1" selected="0">
            <x v="7"/>
          </reference>
          <reference field="9" count="1" selected="0">
            <x v="6"/>
          </reference>
          <reference field="10" count="1" selected="0">
            <x v="0"/>
          </reference>
        </references>
      </pivotArea>
    </chartFormat>
    <chartFormat chart="2" format="248">
      <pivotArea type="data" outline="0" fieldPosition="0">
        <references count="4">
          <reference field="4294967294" count="1" selected="0">
            <x v="0"/>
          </reference>
          <reference field="2" count="1" selected="0">
            <x v="8"/>
          </reference>
          <reference field="9" count="1" selected="0">
            <x v="6"/>
          </reference>
          <reference field="10" count="1" selected="0">
            <x v="0"/>
          </reference>
        </references>
      </pivotArea>
    </chartFormat>
    <chartFormat chart="2" format="249">
      <pivotArea type="data" outline="0" fieldPosition="0">
        <references count="4">
          <reference field="4294967294" count="1" selected="0">
            <x v="0"/>
          </reference>
          <reference field="2" count="1" selected="0">
            <x v="9"/>
          </reference>
          <reference field="9" count="1" selected="0">
            <x v="6"/>
          </reference>
          <reference field="10" count="1" selected="0">
            <x v="0"/>
          </reference>
        </references>
      </pivotArea>
    </chartFormat>
    <chartFormat chart="2" format="250">
      <pivotArea type="data" outline="0" fieldPosition="0">
        <references count="4">
          <reference field="4294967294" count="1" selected="0">
            <x v="0"/>
          </reference>
          <reference field="2" count="1" selected="0">
            <x v="10"/>
          </reference>
          <reference field="9" count="1" selected="0">
            <x v="6"/>
          </reference>
          <reference field="10" count="1" selected="0">
            <x v="0"/>
          </reference>
        </references>
      </pivotArea>
    </chartFormat>
    <chartFormat chart="2" format="251">
      <pivotArea type="data" outline="0" fieldPosition="0">
        <references count="4">
          <reference field="4294967294" count="1" selected="0">
            <x v="0"/>
          </reference>
          <reference field="2" count="1" selected="0">
            <x v="11"/>
          </reference>
          <reference field="9" count="1" selected="0">
            <x v="6"/>
          </reference>
          <reference field="10" count="1" selected="0">
            <x v="0"/>
          </reference>
        </references>
      </pivotArea>
    </chartFormat>
    <chartFormat chart="2" format="252">
      <pivotArea type="data" outline="0" fieldPosition="0">
        <references count="4">
          <reference field="4294967294" count="1" selected="0">
            <x v="0"/>
          </reference>
          <reference field="2" count="1" selected="0">
            <x v="12"/>
          </reference>
          <reference field="9" count="1" selected="0">
            <x v="6"/>
          </reference>
          <reference field="10" count="1" selected="0">
            <x v="0"/>
          </reference>
        </references>
      </pivotArea>
    </chartFormat>
    <chartFormat chart="2" format="253" series="1">
      <pivotArea type="data" outline="0" fieldPosition="0">
        <references count="3">
          <reference field="4294967294" count="1" selected="0">
            <x v="0"/>
          </reference>
          <reference field="9" count="1" selected="0">
            <x v="7"/>
          </reference>
          <reference field="10" count="1" selected="0">
            <x v="0"/>
          </reference>
        </references>
      </pivotArea>
    </chartFormat>
    <chartFormat chart="2" format="254">
      <pivotArea type="data" outline="0" fieldPosition="0">
        <references count="4">
          <reference field="4294967294" count="1" selected="0">
            <x v="0"/>
          </reference>
          <reference field="2" count="1" selected="0">
            <x v="0"/>
          </reference>
          <reference field="9" count="1" selected="0">
            <x v="7"/>
          </reference>
          <reference field="10" count="1" selected="0">
            <x v="0"/>
          </reference>
        </references>
      </pivotArea>
    </chartFormat>
    <chartFormat chart="2" format="255">
      <pivotArea type="data" outline="0" fieldPosition="0">
        <references count="4">
          <reference field="4294967294" count="1" selected="0">
            <x v="0"/>
          </reference>
          <reference field="2" count="1" selected="0">
            <x v="1"/>
          </reference>
          <reference field="9" count="1" selected="0">
            <x v="7"/>
          </reference>
          <reference field="10" count="1" selected="0">
            <x v="0"/>
          </reference>
        </references>
      </pivotArea>
    </chartFormat>
    <chartFormat chart="2" format="256">
      <pivotArea type="data" outline="0" fieldPosition="0">
        <references count="4">
          <reference field="4294967294" count="1" selected="0">
            <x v="0"/>
          </reference>
          <reference field="2" count="1" selected="0">
            <x v="2"/>
          </reference>
          <reference field="9" count="1" selected="0">
            <x v="7"/>
          </reference>
          <reference field="10" count="1" selected="0">
            <x v="0"/>
          </reference>
        </references>
      </pivotArea>
    </chartFormat>
    <chartFormat chart="2" format="257">
      <pivotArea type="data" outline="0" fieldPosition="0">
        <references count="4">
          <reference field="4294967294" count="1" selected="0">
            <x v="0"/>
          </reference>
          <reference field="2" count="1" selected="0">
            <x v="3"/>
          </reference>
          <reference field="9" count="1" selected="0">
            <x v="7"/>
          </reference>
          <reference field="10" count="1" selected="0">
            <x v="0"/>
          </reference>
        </references>
      </pivotArea>
    </chartFormat>
    <chartFormat chart="2" format="258">
      <pivotArea type="data" outline="0" fieldPosition="0">
        <references count="4">
          <reference field="4294967294" count="1" selected="0">
            <x v="0"/>
          </reference>
          <reference field="2" count="1" selected="0">
            <x v="4"/>
          </reference>
          <reference field="9" count="1" selected="0">
            <x v="7"/>
          </reference>
          <reference field="10" count="1" selected="0">
            <x v="0"/>
          </reference>
        </references>
      </pivotArea>
    </chartFormat>
    <chartFormat chart="2" format="259">
      <pivotArea type="data" outline="0" fieldPosition="0">
        <references count="4">
          <reference field="4294967294" count="1" selected="0">
            <x v="0"/>
          </reference>
          <reference field="2" count="1" selected="0">
            <x v="5"/>
          </reference>
          <reference field="9" count="1" selected="0">
            <x v="7"/>
          </reference>
          <reference field="10" count="1" selected="0">
            <x v="0"/>
          </reference>
        </references>
      </pivotArea>
    </chartFormat>
    <chartFormat chart="2" format="260">
      <pivotArea type="data" outline="0" fieldPosition="0">
        <references count="4">
          <reference field="4294967294" count="1" selected="0">
            <x v="0"/>
          </reference>
          <reference field="2" count="1" selected="0">
            <x v="6"/>
          </reference>
          <reference field="9" count="1" selected="0">
            <x v="7"/>
          </reference>
          <reference field="10" count="1" selected="0">
            <x v="0"/>
          </reference>
        </references>
      </pivotArea>
    </chartFormat>
    <chartFormat chart="2" format="261">
      <pivotArea type="data" outline="0" fieldPosition="0">
        <references count="4">
          <reference field="4294967294" count="1" selected="0">
            <x v="0"/>
          </reference>
          <reference field="2" count="1" selected="0">
            <x v="7"/>
          </reference>
          <reference field="9" count="1" selected="0">
            <x v="7"/>
          </reference>
          <reference field="10" count="1" selected="0">
            <x v="0"/>
          </reference>
        </references>
      </pivotArea>
    </chartFormat>
    <chartFormat chart="2" format="262">
      <pivotArea type="data" outline="0" fieldPosition="0">
        <references count="4">
          <reference field="4294967294" count="1" selected="0">
            <x v="0"/>
          </reference>
          <reference field="2" count="1" selected="0">
            <x v="8"/>
          </reference>
          <reference field="9" count="1" selected="0">
            <x v="7"/>
          </reference>
          <reference field="10" count="1" selected="0">
            <x v="0"/>
          </reference>
        </references>
      </pivotArea>
    </chartFormat>
    <chartFormat chart="2" format="263">
      <pivotArea type="data" outline="0" fieldPosition="0">
        <references count="4">
          <reference field="4294967294" count="1" selected="0">
            <x v="0"/>
          </reference>
          <reference field="2" count="1" selected="0">
            <x v="9"/>
          </reference>
          <reference field="9" count="1" selected="0">
            <x v="7"/>
          </reference>
          <reference field="10" count="1" selected="0">
            <x v="0"/>
          </reference>
        </references>
      </pivotArea>
    </chartFormat>
    <chartFormat chart="2" format="264">
      <pivotArea type="data" outline="0" fieldPosition="0">
        <references count="4">
          <reference field="4294967294" count="1" selected="0">
            <x v="0"/>
          </reference>
          <reference field="2" count="1" selected="0">
            <x v="10"/>
          </reference>
          <reference field="9" count="1" selected="0">
            <x v="7"/>
          </reference>
          <reference field="10" count="1" selected="0">
            <x v="0"/>
          </reference>
        </references>
      </pivotArea>
    </chartFormat>
    <chartFormat chart="2" format="265">
      <pivotArea type="data" outline="0" fieldPosition="0">
        <references count="4">
          <reference field="4294967294" count="1" selected="0">
            <x v="0"/>
          </reference>
          <reference field="2" count="1" selected="0">
            <x v="11"/>
          </reference>
          <reference field="9" count="1" selected="0">
            <x v="7"/>
          </reference>
          <reference field="10" count="1" selected="0">
            <x v="0"/>
          </reference>
        </references>
      </pivotArea>
    </chartFormat>
    <chartFormat chart="2" format="266">
      <pivotArea type="data" outline="0" fieldPosition="0">
        <references count="4">
          <reference field="4294967294" count="1" selected="0">
            <x v="0"/>
          </reference>
          <reference field="2" count="1" selected="0">
            <x v="12"/>
          </reference>
          <reference field="9" count="1" selected="0">
            <x v="7"/>
          </reference>
          <reference field="10" count="1" selected="0">
            <x v="0"/>
          </reference>
        </references>
      </pivotArea>
    </chartFormat>
    <chartFormat chart="2" format="267" series="1">
      <pivotArea type="data" outline="0" fieldPosition="0">
        <references count="3">
          <reference field="4294967294" count="1" selected="0">
            <x v="0"/>
          </reference>
          <reference field="9" count="1" selected="0">
            <x v="0"/>
          </reference>
          <reference field="10" count="1" selected="0">
            <x v="1"/>
          </reference>
        </references>
      </pivotArea>
    </chartFormat>
    <chartFormat chart="2" format="268">
      <pivotArea type="data" outline="0" fieldPosition="0">
        <references count="4">
          <reference field="4294967294" count="1" selected="0">
            <x v="0"/>
          </reference>
          <reference field="2" count="1" selected="0">
            <x v="0"/>
          </reference>
          <reference field="9" count="1" selected="0">
            <x v="0"/>
          </reference>
          <reference field="10" count="1" selected="0">
            <x v="1"/>
          </reference>
        </references>
      </pivotArea>
    </chartFormat>
    <chartFormat chart="2" format="269">
      <pivotArea type="data" outline="0" fieldPosition="0">
        <references count="4">
          <reference field="4294967294" count="1" selected="0">
            <x v="0"/>
          </reference>
          <reference field="2" count="1" selected="0">
            <x v="1"/>
          </reference>
          <reference field="9" count="1" selected="0">
            <x v="0"/>
          </reference>
          <reference field="10" count="1" selected="0">
            <x v="1"/>
          </reference>
        </references>
      </pivotArea>
    </chartFormat>
    <chartFormat chart="2" format="270">
      <pivotArea type="data" outline="0" fieldPosition="0">
        <references count="4">
          <reference field="4294967294" count="1" selected="0">
            <x v="0"/>
          </reference>
          <reference field="2" count="1" selected="0">
            <x v="2"/>
          </reference>
          <reference field="9" count="1" selected="0">
            <x v="0"/>
          </reference>
          <reference field="10" count="1" selected="0">
            <x v="1"/>
          </reference>
        </references>
      </pivotArea>
    </chartFormat>
    <chartFormat chart="2" format="271">
      <pivotArea type="data" outline="0" fieldPosition="0">
        <references count="4">
          <reference field="4294967294" count="1" selected="0">
            <x v="0"/>
          </reference>
          <reference field="2" count="1" selected="0">
            <x v="3"/>
          </reference>
          <reference field="9" count="1" selected="0">
            <x v="0"/>
          </reference>
          <reference field="10" count="1" selected="0">
            <x v="1"/>
          </reference>
        </references>
      </pivotArea>
    </chartFormat>
    <chartFormat chart="2" format="272">
      <pivotArea type="data" outline="0" fieldPosition="0">
        <references count="4">
          <reference field="4294967294" count="1" selected="0">
            <x v="0"/>
          </reference>
          <reference field="2" count="1" selected="0">
            <x v="4"/>
          </reference>
          <reference field="9" count="1" selected="0">
            <x v="0"/>
          </reference>
          <reference field="10" count="1" selected="0">
            <x v="1"/>
          </reference>
        </references>
      </pivotArea>
    </chartFormat>
    <chartFormat chart="2" format="273">
      <pivotArea type="data" outline="0" fieldPosition="0">
        <references count="4">
          <reference field="4294967294" count="1" selected="0">
            <x v="0"/>
          </reference>
          <reference field="2" count="1" selected="0">
            <x v="5"/>
          </reference>
          <reference field="9" count="1" selected="0">
            <x v="0"/>
          </reference>
          <reference field="10" count="1" selected="0">
            <x v="1"/>
          </reference>
        </references>
      </pivotArea>
    </chartFormat>
    <chartFormat chart="2" format="274">
      <pivotArea type="data" outline="0" fieldPosition="0">
        <references count="4">
          <reference field="4294967294" count="1" selected="0">
            <x v="0"/>
          </reference>
          <reference field="2" count="1" selected="0">
            <x v="6"/>
          </reference>
          <reference field="9" count="1" selected="0">
            <x v="0"/>
          </reference>
          <reference field="10" count="1" selected="0">
            <x v="1"/>
          </reference>
        </references>
      </pivotArea>
    </chartFormat>
    <chartFormat chart="2" format="275">
      <pivotArea type="data" outline="0" fieldPosition="0">
        <references count="4">
          <reference field="4294967294" count="1" selected="0">
            <x v="0"/>
          </reference>
          <reference field="2" count="1" selected="0">
            <x v="7"/>
          </reference>
          <reference field="9" count="1" selected="0">
            <x v="0"/>
          </reference>
          <reference field="10" count="1" selected="0">
            <x v="1"/>
          </reference>
        </references>
      </pivotArea>
    </chartFormat>
    <chartFormat chart="2" format="276">
      <pivotArea type="data" outline="0" fieldPosition="0">
        <references count="4">
          <reference field="4294967294" count="1" selected="0">
            <x v="0"/>
          </reference>
          <reference field="2" count="1" selected="0">
            <x v="8"/>
          </reference>
          <reference field="9" count="1" selected="0">
            <x v="0"/>
          </reference>
          <reference field="10" count="1" selected="0">
            <x v="1"/>
          </reference>
        </references>
      </pivotArea>
    </chartFormat>
    <chartFormat chart="2" format="277">
      <pivotArea type="data" outline="0" fieldPosition="0">
        <references count="4">
          <reference field="4294967294" count="1" selected="0">
            <x v="0"/>
          </reference>
          <reference field="2" count="1" selected="0">
            <x v="9"/>
          </reference>
          <reference field="9" count="1" selected="0">
            <x v="0"/>
          </reference>
          <reference field="10" count="1" selected="0">
            <x v="1"/>
          </reference>
        </references>
      </pivotArea>
    </chartFormat>
    <chartFormat chart="2" format="278">
      <pivotArea type="data" outline="0" fieldPosition="0">
        <references count="4">
          <reference field="4294967294" count="1" selected="0">
            <x v="0"/>
          </reference>
          <reference field="2" count="1" selected="0">
            <x v="10"/>
          </reference>
          <reference field="9" count="1" selected="0">
            <x v="0"/>
          </reference>
          <reference field="10" count="1" selected="0">
            <x v="1"/>
          </reference>
        </references>
      </pivotArea>
    </chartFormat>
    <chartFormat chart="2" format="279">
      <pivotArea type="data" outline="0" fieldPosition="0">
        <references count="4">
          <reference field="4294967294" count="1" selected="0">
            <x v="0"/>
          </reference>
          <reference field="2" count="1" selected="0">
            <x v="11"/>
          </reference>
          <reference field="9" count="1" selected="0">
            <x v="0"/>
          </reference>
          <reference field="10" count="1" selected="0">
            <x v="1"/>
          </reference>
        </references>
      </pivotArea>
    </chartFormat>
    <chartFormat chart="2" format="280">
      <pivotArea type="data" outline="0" fieldPosition="0">
        <references count="4">
          <reference field="4294967294" count="1" selected="0">
            <x v="0"/>
          </reference>
          <reference field="2" count="1" selected="0">
            <x v="12"/>
          </reference>
          <reference field="9" count="1" selected="0">
            <x v="0"/>
          </reference>
          <reference field="10" count="1" selected="0">
            <x v="1"/>
          </reference>
        </references>
      </pivotArea>
    </chartFormat>
    <chartFormat chart="2" format="281" series="1">
      <pivotArea type="data" outline="0" fieldPosition="0">
        <references count="3">
          <reference field="4294967294" count="1" selected="0">
            <x v="0"/>
          </reference>
          <reference field="9" count="1" selected="0">
            <x v="1"/>
          </reference>
          <reference field="10" count="1" selected="0">
            <x v="1"/>
          </reference>
        </references>
      </pivotArea>
    </chartFormat>
    <chartFormat chart="2" format="282">
      <pivotArea type="data" outline="0" fieldPosition="0">
        <references count="4">
          <reference field="4294967294" count="1" selected="0">
            <x v="0"/>
          </reference>
          <reference field="2" count="1" selected="0">
            <x v="0"/>
          </reference>
          <reference field="9" count="1" selected="0">
            <x v="1"/>
          </reference>
          <reference field="10" count="1" selected="0">
            <x v="1"/>
          </reference>
        </references>
      </pivotArea>
    </chartFormat>
    <chartFormat chart="2" format="283">
      <pivotArea type="data" outline="0" fieldPosition="0">
        <references count="4">
          <reference field="4294967294" count="1" selected="0">
            <x v="0"/>
          </reference>
          <reference field="2" count="1" selected="0">
            <x v="1"/>
          </reference>
          <reference field="9" count="1" selected="0">
            <x v="1"/>
          </reference>
          <reference field="10" count="1" selected="0">
            <x v="1"/>
          </reference>
        </references>
      </pivotArea>
    </chartFormat>
    <chartFormat chart="2" format="284">
      <pivotArea type="data" outline="0" fieldPosition="0">
        <references count="4">
          <reference field="4294967294" count="1" selected="0">
            <x v="0"/>
          </reference>
          <reference field="2" count="1" selected="0">
            <x v="2"/>
          </reference>
          <reference field="9" count="1" selected="0">
            <x v="1"/>
          </reference>
          <reference field="10" count="1" selected="0">
            <x v="1"/>
          </reference>
        </references>
      </pivotArea>
    </chartFormat>
    <chartFormat chart="2" format="285">
      <pivotArea type="data" outline="0" fieldPosition="0">
        <references count="4">
          <reference field="4294967294" count="1" selected="0">
            <x v="0"/>
          </reference>
          <reference field="2" count="1" selected="0">
            <x v="3"/>
          </reference>
          <reference field="9" count="1" selected="0">
            <x v="1"/>
          </reference>
          <reference field="10" count="1" selected="0">
            <x v="1"/>
          </reference>
        </references>
      </pivotArea>
    </chartFormat>
    <chartFormat chart="2" format="286">
      <pivotArea type="data" outline="0" fieldPosition="0">
        <references count="4">
          <reference field="4294967294" count="1" selected="0">
            <x v="0"/>
          </reference>
          <reference field="2" count="1" selected="0">
            <x v="4"/>
          </reference>
          <reference field="9" count="1" selected="0">
            <x v="1"/>
          </reference>
          <reference field="10" count="1" selected="0">
            <x v="1"/>
          </reference>
        </references>
      </pivotArea>
    </chartFormat>
    <chartFormat chart="2" format="287">
      <pivotArea type="data" outline="0" fieldPosition="0">
        <references count="4">
          <reference field="4294967294" count="1" selected="0">
            <x v="0"/>
          </reference>
          <reference field="2" count="1" selected="0">
            <x v="5"/>
          </reference>
          <reference field="9" count="1" selected="0">
            <x v="1"/>
          </reference>
          <reference field="10" count="1" selected="0">
            <x v="1"/>
          </reference>
        </references>
      </pivotArea>
    </chartFormat>
    <chartFormat chart="2" format="288">
      <pivotArea type="data" outline="0" fieldPosition="0">
        <references count="4">
          <reference field="4294967294" count="1" selected="0">
            <x v="0"/>
          </reference>
          <reference field="2" count="1" selected="0">
            <x v="6"/>
          </reference>
          <reference field="9" count="1" selected="0">
            <x v="1"/>
          </reference>
          <reference field="10" count="1" selected="0">
            <x v="1"/>
          </reference>
        </references>
      </pivotArea>
    </chartFormat>
    <chartFormat chart="2" format="289">
      <pivotArea type="data" outline="0" fieldPosition="0">
        <references count="4">
          <reference field="4294967294" count="1" selected="0">
            <x v="0"/>
          </reference>
          <reference field="2" count="1" selected="0">
            <x v="7"/>
          </reference>
          <reference field="9" count="1" selected="0">
            <x v="1"/>
          </reference>
          <reference field="10" count="1" selected="0">
            <x v="1"/>
          </reference>
        </references>
      </pivotArea>
    </chartFormat>
    <chartFormat chart="2" format="290">
      <pivotArea type="data" outline="0" fieldPosition="0">
        <references count="4">
          <reference field="4294967294" count="1" selected="0">
            <x v="0"/>
          </reference>
          <reference field="2" count="1" selected="0">
            <x v="8"/>
          </reference>
          <reference field="9" count="1" selected="0">
            <x v="1"/>
          </reference>
          <reference field="10" count="1" selected="0">
            <x v="1"/>
          </reference>
        </references>
      </pivotArea>
    </chartFormat>
    <chartFormat chart="2" format="291">
      <pivotArea type="data" outline="0" fieldPosition="0">
        <references count="4">
          <reference field="4294967294" count="1" selected="0">
            <x v="0"/>
          </reference>
          <reference field="2" count="1" selected="0">
            <x v="9"/>
          </reference>
          <reference field="9" count="1" selected="0">
            <x v="1"/>
          </reference>
          <reference field="10" count="1" selected="0">
            <x v="1"/>
          </reference>
        </references>
      </pivotArea>
    </chartFormat>
    <chartFormat chart="2" format="292">
      <pivotArea type="data" outline="0" fieldPosition="0">
        <references count="4">
          <reference field="4294967294" count="1" selected="0">
            <x v="0"/>
          </reference>
          <reference field="2" count="1" selected="0">
            <x v="10"/>
          </reference>
          <reference field="9" count="1" selected="0">
            <x v="1"/>
          </reference>
          <reference field="10" count="1" selected="0">
            <x v="1"/>
          </reference>
        </references>
      </pivotArea>
    </chartFormat>
    <chartFormat chart="2" format="293">
      <pivotArea type="data" outline="0" fieldPosition="0">
        <references count="4">
          <reference field="4294967294" count="1" selected="0">
            <x v="0"/>
          </reference>
          <reference field="2" count="1" selected="0">
            <x v="11"/>
          </reference>
          <reference field="9" count="1" selected="0">
            <x v="1"/>
          </reference>
          <reference field="10" count="1" selected="0">
            <x v="1"/>
          </reference>
        </references>
      </pivotArea>
    </chartFormat>
    <chartFormat chart="2" format="294">
      <pivotArea type="data" outline="0" fieldPosition="0">
        <references count="4">
          <reference field="4294967294" count="1" selected="0">
            <x v="0"/>
          </reference>
          <reference field="2" count="1" selected="0">
            <x v="12"/>
          </reference>
          <reference field="9" count="1" selected="0">
            <x v="1"/>
          </reference>
          <reference field="10" count="1" selected="0">
            <x v="1"/>
          </reference>
        </references>
      </pivotArea>
    </chartFormat>
    <chartFormat chart="2" format="295" series="1">
      <pivotArea type="data" outline="0" fieldPosition="0">
        <references count="3">
          <reference field="4294967294" count="1" selected="0">
            <x v="0"/>
          </reference>
          <reference field="9" count="1" selected="0">
            <x v="2"/>
          </reference>
          <reference field="10" count="1" selected="0">
            <x v="1"/>
          </reference>
        </references>
      </pivotArea>
    </chartFormat>
    <chartFormat chart="2" format="296">
      <pivotArea type="data" outline="0" fieldPosition="0">
        <references count="4">
          <reference field="4294967294" count="1" selected="0">
            <x v="0"/>
          </reference>
          <reference field="2" count="1" selected="0">
            <x v="0"/>
          </reference>
          <reference field="9" count="1" selected="0">
            <x v="2"/>
          </reference>
          <reference field="10" count="1" selected="0">
            <x v="1"/>
          </reference>
        </references>
      </pivotArea>
    </chartFormat>
    <chartFormat chart="2" format="297">
      <pivotArea type="data" outline="0" fieldPosition="0">
        <references count="4">
          <reference field="4294967294" count="1" selected="0">
            <x v="0"/>
          </reference>
          <reference field="2" count="1" selected="0">
            <x v="1"/>
          </reference>
          <reference field="9" count="1" selected="0">
            <x v="2"/>
          </reference>
          <reference field="10" count="1" selected="0">
            <x v="1"/>
          </reference>
        </references>
      </pivotArea>
    </chartFormat>
    <chartFormat chart="2" format="298">
      <pivotArea type="data" outline="0" fieldPosition="0">
        <references count="4">
          <reference field="4294967294" count="1" selected="0">
            <x v="0"/>
          </reference>
          <reference field="2" count="1" selected="0">
            <x v="2"/>
          </reference>
          <reference field="9" count="1" selected="0">
            <x v="2"/>
          </reference>
          <reference field="10" count="1" selected="0">
            <x v="1"/>
          </reference>
        </references>
      </pivotArea>
    </chartFormat>
    <chartFormat chart="2" format="299">
      <pivotArea type="data" outline="0" fieldPosition="0">
        <references count="4">
          <reference field="4294967294" count="1" selected="0">
            <x v="0"/>
          </reference>
          <reference field="2" count="1" selected="0">
            <x v="3"/>
          </reference>
          <reference field="9" count="1" selected="0">
            <x v="2"/>
          </reference>
          <reference field="10" count="1" selected="0">
            <x v="1"/>
          </reference>
        </references>
      </pivotArea>
    </chartFormat>
    <chartFormat chart="2" format="300">
      <pivotArea type="data" outline="0" fieldPosition="0">
        <references count="4">
          <reference field="4294967294" count="1" selected="0">
            <x v="0"/>
          </reference>
          <reference field="2" count="1" selected="0">
            <x v="4"/>
          </reference>
          <reference field="9" count="1" selected="0">
            <x v="2"/>
          </reference>
          <reference field="10" count="1" selected="0">
            <x v="1"/>
          </reference>
        </references>
      </pivotArea>
    </chartFormat>
    <chartFormat chart="2" format="301">
      <pivotArea type="data" outline="0" fieldPosition="0">
        <references count="4">
          <reference field="4294967294" count="1" selected="0">
            <x v="0"/>
          </reference>
          <reference field="2" count="1" selected="0">
            <x v="5"/>
          </reference>
          <reference field="9" count="1" selected="0">
            <x v="2"/>
          </reference>
          <reference field="10" count="1" selected="0">
            <x v="1"/>
          </reference>
        </references>
      </pivotArea>
    </chartFormat>
    <chartFormat chart="2" format="302">
      <pivotArea type="data" outline="0" fieldPosition="0">
        <references count="4">
          <reference field="4294967294" count="1" selected="0">
            <x v="0"/>
          </reference>
          <reference field="2" count="1" selected="0">
            <x v="6"/>
          </reference>
          <reference field="9" count="1" selected="0">
            <x v="2"/>
          </reference>
          <reference field="10" count="1" selected="0">
            <x v="1"/>
          </reference>
        </references>
      </pivotArea>
    </chartFormat>
    <chartFormat chart="2" format="303">
      <pivotArea type="data" outline="0" fieldPosition="0">
        <references count="4">
          <reference field="4294967294" count="1" selected="0">
            <x v="0"/>
          </reference>
          <reference field="2" count="1" selected="0">
            <x v="7"/>
          </reference>
          <reference field="9" count="1" selected="0">
            <x v="2"/>
          </reference>
          <reference field="10" count="1" selected="0">
            <x v="1"/>
          </reference>
        </references>
      </pivotArea>
    </chartFormat>
    <chartFormat chart="2" format="304">
      <pivotArea type="data" outline="0" fieldPosition="0">
        <references count="4">
          <reference field="4294967294" count="1" selected="0">
            <x v="0"/>
          </reference>
          <reference field="2" count="1" selected="0">
            <x v="8"/>
          </reference>
          <reference field="9" count="1" selected="0">
            <x v="2"/>
          </reference>
          <reference field="10" count="1" selected="0">
            <x v="1"/>
          </reference>
        </references>
      </pivotArea>
    </chartFormat>
    <chartFormat chart="2" format="305">
      <pivotArea type="data" outline="0" fieldPosition="0">
        <references count="4">
          <reference field="4294967294" count="1" selected="0">
            <x v="0"/>
          </reference>
          <reference field="2" count="1" selected="0">
            <x v="9"/>
          </reference>
          <reference field="9" count="1" selected="0">
            <x v="2"/>
          </reference>
          <reference field="10" count="1" selected="0">
            <x v="1"/>
          </reference>
        </references>
      </pivotArea>
    </chartFormat>
    <chartFormat chart="2" format="306">
      <pivotArea type="data" outline="0" fieldPosition="0">
        <references count="4">
          <reference field="4294967294" count="1" selected="0">
            <x v="0"/>
          </reference>
          <reference field="2" count="1" selected="0">
            <x v="10"/>
          </reference>
          <reference field="9" count="1" selected="0">
            <x v="2"/>
          </reference>
          <reference field="10" count="1" selected="0">
            <x v="1"/>
          </reference>
        </references>
      </pivotArea>
    </chartFormat>
    <chartFormat chart="2" format="307">
      <pivotArea type="data" outline="0" fieldPosition="0">
        <references count="4">
          <reference field="4294967294" count="1" selected="0">
            <x v="0"/>
          </reference>
          <reference field="2" count="1" selected="0">
            <x v="11"/>
          </reference>
          <reference field="9" count="1" selected="0">
            <x v="2"/>
          </reference>
          <reference field="10" count="1" selected="0">
            <x v="1"/>
          </reference>
        </references>
      </pivotArea>
    </chartFormat>
    <chartFormat chart="2" format="308">
      <pivotArea type="data" outline="0" fieldPosition="0">
        <references count="4">
          <reference field="4294967294" count="1" selected="0">
            <x v="0"/>
          </reference>
          <reference field="2" count="1" selected="0">
            <x v="12"/>
          </reference>
          <reference field="9" count="1" selected="0">
            <x v="2"/>
          </reference>
          <reference field="10" count="1" selected="0">
            <x v="1"/>
          </reference>
        </references>
      </pivotArea>
    </chartFormat>
    <chartFormat chart="2" format="309" series="1">
      <pivotArea type="data" outline="0" fieldPosition="0">
        <references count="3">
          <reference field="4294967294" count="1" selected="0">
            <x v="0"/>
          </reference>
          <reference field="9" count="1" selected="0">
            <x v="3"/>
          </reference>
          <reference field="10" count="1" selected="0">
            <x v="1"/>
          </reference>
        </references>
      </pivotArea>
    </chartFormat>
    <chartFormat chart="2" format="310">
      <pivotArea type="data" outline="0" fieldPosition="0">
        <references count="4">
          <reference field="4294967294" count="1" selected="0">
            <x v="0"/>
          </reference>
          <reference field="2" count="1" selected="0">
            <x v="0"/>
          </reference>
          <reference field="9" count="1" selected="0">
            <x v="3"/>
          </reference>
          <reference field="10" count="1" selected="0">
            <x v="1"/>
          </reference>
        </references>
      </pivotArea>
    </chartFormat>
    <chartFormat chart="2" format="311">
      <pivotArea type="data" outline="0" fieldPosition="0">
        <references count="4">
          <reference field="4294967294" count="1" selected="0">
            <x v="0"/>
          </reference>
          <reference field="2" count="1" selected="0">
            <x v="1"/>
          </reference>
          <reference field="9" count="1" selected="0">
            <x v="3"/>
          </reference>
          <reference field="10" count="1" selected="0">
            <x v="1"/>
          </reference>
        </references>
      </pivotArea>
    </chartFormat>
    <chartFormat chart="2" format="312">
      <pivotArea type="data" outline="0" fieldPosition="0">
        <references count="4">
          <reference field="4294967294" count="1" selected="0">
            <x v="0"/>
          </reference>
          <reference field="2" count="1" selected="0">
            <x v="2"/>
          </reference>
          <reference field="9" count="1" selected="0">
            <x v="3"/>
          </reference>
          <reference field="10" count="1" selected="0">
            <x v="1"/>
          </reference>
        </references>
      </pivotArea>
    </chartFormat>
    <chartFormat chart="2" format="313">
      <pivotArea type="data" outline="0" fieldPosition="0">
        <references count="4">
          <reference field="4294967294" count="1" selected="0">
            <x v="0"/>
          </reference>
          <reference field="2" count="1" selected="0">
            <x v="3"/>
          </reference>
          <reference field="9" count="1" selected="0">
            <x v="3"/>
          </reference>
          <reference field="10" count="1" selected="0">
            <x v="1"/>
          </reference>
        </references>
      </pivotArea>
    </chartFormat>
    <chartFormat chart="2" format="314">
      <pivotArea type="data" outline="0" fieldPosition="0">
        <references count="4">
          <reference field="4294967294" count="1" selected="0">
            <x v="0"/>
          </reference>
          <reference field="2" count="1" selected="0">
            <x v="4"/>
          </reference>
          <reference field="9" count="1" selected="0">
            <x v="3"/>
          </reference>
          <reference field="10" count="1" selected="0">
            <x v="1"/>
          </reference>
        </references>
      </pivotArea>
    </chartFormat>
    <chartFormat chart="2" format="315">
      <pivotArea type="data" outline="0" fieldPosition="0">
        <references count="4">
          <reference field="4294967294" count="1" selected="0">
            <x v="0"/>
          </reference>
          <reference field="2" count="1" selected="0">
            <x v="5"/>
          </reference>
          <reference field="9" count="1" selected="0">
            <x v="3"/>
          </reference>
          <reference field="10" count="1" selected="0">
            <x v="1"/>
          </reference>
        </references>
      </pivotArea>
    </chartFormat>
    <chartFormat chart="2" format="316">
      <pivotArea type="data" outline="0" fieldPosition="0">
        <references count="4">
          <reference field="4294967294" count="1" selected="0">
            <x v="0"/>
          </reference>
          <reference field="2" count="1" selected="0">
            <x v="6"/>
          </reference>
          <reference field="9" count="1" selected="0">
            <x v="3"/>
          </reference>
          <reference field="10" count="1" selected="0">
            <x v="1"/>
          </reference>
        </references>
      </pivotArea>
    </chartFormat>
    <chartFormat chart="2" format="317">
      <pivotArea type="data" outline="0" fieldPosition="0">
        <references count="4">
          <reference field="4294967294" count="1" selected="0">
            <x v="0"/>
          </reference>
          <reference field="2" count="1" selected="0">
            <x v="7"/>
          </reference>
          <reference field="9" count="1" selected="0">
            <x v="3"/>
          </reference>
          <reference field="10" count="1" selected="0">
            <x v="1"/>
          </reference>
        </references>
      </pivotArea>
    </chartFormat>
    <chartFormat chart="2" format="318">
      <pivotArea type="data" outline="0" fieldPosition="0">
        <references count="4">
          <reference field="4294967294" count="1" selected="0">
            <x v="0"/>
          </reference>
          <reference field="2" count="1" selected="0">
            <x v="8"/>
          </reference>
          <reference field="9" count="1" selected="0">
            <x v="3"/>
          </reference>
          <reference field="10" count="1" selected="0">
            <x v="1"/>
          </reference>
        </references>
      </pivotArea>
    </chartFormat>
    <chartFormat chart="2" format="319">
      <pivotArea type="data" outline="0" fieldPosition="0">
        <references count="4">
          <reference field="4294967294" count="1" selected="0">
            <x v="0"/>
          </reference>
          <reference field="2" count="1" selected="0">
            <x v="9"/>
          </reference>
          <reference field="9" count="1" selected="0">
            <x v="3"/>
          </reference>
          <reference field="10" count="1" selected="0">
            <x v="1"/>
          </reference>
        </references>
      </pivotArea>
    </chartFormat>
    <chartFormat chart="2" format="320">
      <pivotArea type="data" outline="0" fieldPosition="0">
        <references count="4">
          <reference field="4294967294" count="1" selected="0">
            <x v="0"/>
          </reference>
          <reference field="2" count="1" selected="0">
            <x v="10"/>
          </reference>
          <reference field="9" count="1" selected="0">
            <x v="3"/>
          </reference>
          <reference field="10" count="1" selected="0">
            <x v="1"/>
          </reference>
        </references>
      </pivotArea>
    </chartFormat>
    <chartFormat chart="2" format="321">
      <pivotArea type="data" outline="0" fieldPosition="0">
        <references count="4">
          <reference field="4294967294" count="1" selected="0">
            <x v="0"/>
          </reference>
          <reference field="2" count="1" selected="0">
            <x v="11"/>
          </reference>
          <reference field="9" count="1" selected="0">
            <x v="3"/>
          </reference>
          <reference field="10" count="1" selected="0">
            <x v="1"/>
          </reference>
        </references>
      </pivotArea>
    </chartFormat>
    <chartFormat chart="2" format="322">
      <pivotArea type="data" outline="0" fieldPosition="0">
        <references count="4">
          <reference field="4294967294" count="1" selected="0">
            <x v="0"/>
          </reference>
          <reference field="2" count="1" selected="0">
            <x v="12"/>
          </reference>
          <reference field="9" count="1" selected="0">
            <x v="3"/>
          </reference>
          <reference field="10" count="1" selected="0">
            <x v="1"/>
          </reference>
        </references>
      </pivotArea>
    </chartFormat>
    <chartFormat chart="2" format="323" series="1">
      <pivotArea type="data" outline="0" fieldPosition="0">
        <references count="3">
          <reference field="4294967294" count="1" selected="0">
            <x v="0"/>
          </reference>
          <reference field="9" count="1" selected="0">
            <x v="4"/>
          </reference>
          <reference field="10" count="1" selected="0">
            <x v="1"/>
          </reference>
        </references>
      </pivotArea>
    </chartFormat>
    <chartFormat chart="2" format="324">
      <pivotArea type="data" outline="0" fieldPosition="0">
        <references count="4">
          <reference field="4294967294" count="1" selected="0">
            <x v="0"/>
          </reference>
          <reference field="2" count="1" selected="0">
            <x v="0"/>
          </reference>
          <reference field="9" count="1" selected="0">
            <x v="4"/>
          </reference>
          <reference field="10" count="1" selected="0">
            <x v="1"/>
          </reference>
        </references>
      </pivotArea>
    </chartFormat>
    <chartFormat chart="2" format="325">
      <pivotArea type="data" outline="0" fieldPosition="0">
        <references count="4">
          <reference field="4294967294" count="1" selected="0">
            <x v="0"/>
          </reference>
          <reference field="2" count="1" selected="0">
            <x v="1"/>
          </reference>
          <reference field="9" count="1" selected="0">
            <x v="4"/>
          </reference>
          <reference field="10" count="1" selected="0">
            <x v="1"/>
          </reference>
        </references>
      </pivotArea>
    </chartFormat>
    <chartFormat chart="2" format="326">
      <pivotArea type="data" outline="0" fieldPosition="0">
        <references count="4">
          <reference field="4294967294" count="1" selected="0">
            <x v="0"/>
          </reference>
          <reference field="2" count="1" selected="0">
            <x v="2"/>
          </reference>
          <reference field="9" count="1" selected="0">
            <x v="4"/>
          </reference>
          <reference field="10" count="1" selected="0">
            <x v="1"/>
          </reference>
        </references>
      </pivotArea>
    </chartFormat>
    <chartFormat chart="2" format="327">
      <pivotArea type="data" outline="0" fieldPosition="0">
        <references count="4">
          <reference field="4294967294" count="1" selected="0">
            <x v="0"/>
          </reference>
          <reference field="2" count="1" selected="0">
            <x v="3"/>
          </reference>
          <reference field="9" count="1" selected="0">
            <x v="4"/>
          </reference>
          <reference field="10" count="1" selected="0">
            <x v="1"/>
          </reference>
        </references>
      </pivotArea>
    </chartFormat>
    <chartFormat chart="2" format="328">
      <pivotArea type="data" outline="0" fieldPosition="0">
        <references count="4">
          <reference field="4294967294" count="1" selected="0">
            <x v="0"/>
          </reference>
          <reference field="2" count="1" selected="0">
            <x v="4"/>
          </reference>
          <reference field="9" count="1" selected="0">
            <x v="4"/>
          </reference>
          <reference field="10" count="1" selected="0">
            <x v="1"/>
          </reference>
        </references>
      </pivotArea>
    </chartFormat>
    <chartFormat chart="2" format="329">
      <pivotArea type="data" outline="0" fieldPosition="0">
        <references count="4">
          <reference field="4294967294" count="1" selected="0">
            <x v="0"/>
          </reference>
          <reference field="2" count="1" selected="0">
            <x v="5"/>
          </reference>
          <reference field="9" count="1" selected="0">
            <x v="4"/>
          </reference>
          <reference field="10" count="1" selected="0">
            <x v="1"/>
          </reference>
        </references>
      </pivotArea>
    </chartFormat>
    <chartFormat chart="2" format="330">
      <pivotArea type="data" outline="0" fieldPosition="0">
        <references count="4">
          <reference field="4294967294" count="1" selected="0">
            <x v="0"/>
          </reference>
          <reference field="2" count="1" selected="0">
            <x v="6"/>
          </reference>
          <reference field="9" count="1" selected="0">
            <x v="4"/>
          </reference>
          <reference field="10" count="1" selected="0">
            <x v="1"/>
          </reference>
        </references>
      </pivotArea>
    </chartFormat>
    <chartFormat chart="2" format="331">
      <pivotArea type="data" outline="0" fieldPosition="0">
        <references count="4">
          <reference field="4294967294" count="1" selected="0">
            <x v="0"/>
          </reference>
          <reference field="2" count="1" selected="0">
            <x v="7"/>
          </reference>
          <reference field="9" count="1" selected="0">
            <x v="4"/>
          </reference>
          <reference field="10" count="1" selected="0">
            <x v="1"/>
          </reference>
        </references>
      </pivotArea>
    </chartFormat>
    <chartFormat chart="2" format="332">
      <pivotArea type="data" outline="0" fieldPosition="0">
        <references count="4">
          <reference field="4294967294" count="1" selected="0">
            <x v="0"/>
          </reference>
          <reference field="2" count="1" selected="0">
            <x v="8"/>
          </reference>
          <reference field="9" count="1" selected="0">
            <x v="4"/>
          </reference>
          <reference field="10" count="1" selected="0">
            <x v="1"/>
          </reference>
        </references>
      </pivotArea>
    </chartFormat>
    <chartFormat chart="2" format="333">
      <pivotArea type="data" outline="0" fieldPosition="0">
        <references count="4">
          <reference field="4294967294" count="1" selected="0">
            <x v="0"/>
          </reference>
          <reference field="2" count="1" selected="0">
            <x v="9"/>
          </reference>
          <reference field="9" count="1" selected="0">
            <x v="4"/>
          </reference>
          <reference field="10" count="1" selected="0">
            <x v="1"/>
          </reference>
        </references>
      </pivotArea>
    </chartFormat>
    <chartFormat chart="2" format="334">
      <pivotArea type="data" outline="0" fieldPosition="0">
        <references count="4">
          <reference field="4294967294" count="1" selected="0">
            <x v="0"/>
          </reference>
          <reference field="2" count="1" selected="0">
            <x v="10"/>
          </reference>
          <reference field="9" count="1" selected="0">
            <x v="4"/>
          </reference>
          <reference field="10" count="1" selected="0">
            <x v="1"/>
          </reference>
        </references>
      </pivotArea>
    </chartFormat>
    <chartFormat chart="2" format="335">
      <pivotArea type="data" outline="0" fieldPosition="0">
        <references count="4">
          <reference field="4294967294" count="1" selected="0">
            <x v="0"/>
          </reference>
          <reference field="2" count="1" selected="0">
            <x v="11"/>
          </reference>
          <reference field="9" count="1" selected="0">
            <x v="4"/>
          </reference>
          <reference field="10" count="1" selected="0">
            <x v="1"/>
          </reference>
        </references>
      </pivotArea>
    </chartFormat>
    <chartFormat chart="2" format="336">
      <pivotArea type="data" outline="0" fieldPosition="0">
        <references count="4">
          <reference field="4294967294" count="1" selected="0">
            <x v="0"/>
          </reference>
          <reference field="2" count="1" selected="0">
            <x v="12"/>
          </reference>
          <reference field="9" count="1" selected="0">
            <x v="4"/>
          </reference>
          <reference field="10" count="1" selected="0">
            <x v="1"/>
          </reference>
        </references>
      </pivotArea>
    </chartFormat>
    <chartFormat chart="2" format="337" series="1">
      <pivotArea type="data" outline="0" fieldPosition="0">
        <references count="3">
          <reference field="4294967294" count="1" selected="0">
            <x v="0"/>
          </reference>
          <reference field="9" count="1" selected="0">
            <x v="5"/>
          </reference>
          <reference field="10" count="1" selected="0">
            <x v="1"/>
          </reference>
        </references>
      </pivotArea>
    </chartFormat>
    <chartFormat chart="2" format="338">
      <pivotArea type="data" outline="0" fieldPosition="0">
        <references count="4">
          <reference field="4294967294" count="1" selected="0">
            <x v="0"/>
          </reference>
          <reference field="2" count="1" selected="0">
            <x v="0"/>
          </reference>
          <reference field="9" count="1" selected="0">
            <x v="5"/>
          </reference>
          <reference field="10" count="1" selected="0">
            <x v="1"/>
          </reference>
        </references>
      </pivotArea>
    </chartFormat>
    <chartFormat chart="2" format="339">
      <pivotArea type="data" outline="0" fieldPosition="0">
        <references count="4">
          <reference field="4294967294" count="1" selected="0">
            <x v="0"/>
          </reference>
          <reference field="2" count="1" selected="0">
            <x v="1"/>
          </reference>
          <reference field="9" count="1" selected="0">
            <x v="5"/>
          </reference>
          <reference field="10" count="1" selected="0">
            <x v="1"/>
          </reference>
        </references>
      </pivotArea>
    </chartFormat>
    <chartFormat chart="2" format="340">
      <pivotArea type="data" outline="0" fieldPosition="0">
        <references count="4">
          <reference field="4294967294" count="1" selected="0">
            <x v="0"/>
          </reference>
          <reference field="2" count="1" selected="0">
            <x v="2"/>
          </reference>
          <reference field="9" count="1" selected="0">
            <x v="5"/>
          </reference>
          <reference field="10" count="1" selected="0">
            <x v="1"/>
          </reference>
        </references>
      </pivotArea>
    </chartFormat>
    <chartFormat chart="2" format="341">
      <pivotArea type="data" outline="0" fieldPosition="0">
        <references count="4">
          <reference field="4294967294" count="1" selected="0">
            <x v="0"/>
          </reference>
          <reference field="2" count="1" selected="0">
            <x v="3"/>
          </reference>
          <reference field="9" count="1" selected="0">
            <x v="5"/>
          </reference>
          <reference field="10" count="1" selected="0">
            <x v="1"/>
          </reference>
        </references>
      </pivotArea>
    </chartFormat>
    <chartFormat chart="2" format="342">
      <pivotArea type="data" outline="0" fieldPosition="0">
        <references count="4">
          <reference field="4294967294" count="1" selected="0">
            <x v="0"/>
          </reference>
          <reference field="2" count="1" selected="0">
            <x v="4"/>
          </reference>
          <reference field="9" count="1" selected="0">
            <x v="5"/>
          </reference>
          <reference field="10" count="1" selected="0">
            <x v="1"/>
          </reference>
        </references>
      </pivotArea>
    </chartFormat>
    <chartFormat chart="2" format="343">
      <pivotArea type="data" outline="0" fieldPosition="0">
        <references count="4">
          <reference field="4294967294" count="1" selected="0">
            <x v="0"/>
          </reference>
          <reference field="2" count="1" selected="0">
            <x v="5"/>
          </reference>
          <reference field="9" count="1" selected="0">
            <x v="5"/>
          </reference>
          <reference field="10" count="1" selected="0">
            <x v="1"/>
          </reference>
        </references>
      </pivotArea>
    </chartFormat>
    <chartFormat chart="2" format="344">
      <pivotArea type="data" outline="0" fieldPosition="0">
        <references count="4">
          <reference field="4294967294" count="1" selected="0">
            <x v="0"/>
          </reference>
          <reference field="2" count="1" selected="0">
            <x v="6"/>
          </reference>
          <reference field="9" count="1" selected="0">
            <x v="5"/>
          </reference>
          <reference field="10" count="1" selected="0">
            <x v="1"/>
          </reference>
        </references>
      </pivotArea>
    </chartFormat>
    <chartFormat chart="2" format="345">
      <pivotArea type="data" outline="0" fieldPosition="0">
        <references count="4">
          <reference field="4294967294" count="1" selected="0">
            <x v="0"/>
          </reference>
          <reference field="2" count="1" selected="0">
            <x v="7"/>
          </reference>
          <reference field="9" count="1" selected="0">
            <x v="5"/>
          </reference>
          <reference field="10" count="1" selected="0">
            <x v="1"/>
          </reference>
        </references>
      </pivotArea>
    </chartFormat>
    <chartFormat chart="2" format="346">
      <pivotArea type="data" outline="0" fieldPosition="0">
        <references count="4">
          <reference field="4294967294" count="1" selected="0">
            <x v="0"/>
          </reference>
          <reference field="2" count="1" selected="0">
            <x v="8"/>
          </reference>
          <reference field="9" count="1" selected="0">
            <x v="5"/>
          </reference>
          <reference field="10" count="1" selected="0">
            <x v="1"/>
          </reference>
        </references>
      </pivotArea>
    </chartFormat>
    <chartFormat chart="2" format="347">
      <pivotArea type="data" outline="0" fieldPosition="0">
        <references count="4">
          <reference field="4294967294" count="1" selected="0">
            <x v="0"/>
          </reference>
          <reference field="2" count="1" selected="0">
            <x v="9"/>
          </reference>
          <reference field="9" count="1" selected="0">
            <x v="5"/>
          </reference>
          <reference field="10" count="1" selected="0">
            <x v="1"/>
          </reference>
        </references>
      </pivotArea>
    </chartFormat>
    <chartFormat chart="2" format="348">
      <pivotArea type="data" outline="0" fieldPosition="0">
        <references count="4">
          <reference field="4294967294" count="1" selected="0">
            <x v="0"/>
          </reference>
          <reference field="2" count="1" selected="0">
            <x v="10"/>
          </reference>
          <reference field="9" count="1" selected="0">
            <x v="5"/>
          </reference>
          <reference field="10" count="1" selected="0">
            <x v="1"/>
          </reference>
        </references>
      </pivotArea>
    </chartFormat>
    <chartFormat chart="2" format="349">
      <pivotArea type="data" outline="0" fieldPosition="0">
        <references count="4">
          <reference field="4294967294" count="1" selected="0">
            <x v="0"/>
          </reference>
          <reference field="2" count="1" selected="0">
            <x v="11"/>
          </reference>
          <reference field="9" count="1" selected="0">
            <x v="5"/>
          </reference>
          <reference field="10" count="1" selected="0">
            <x v="1"/>
          </reference>
        </references>
      </pivotArea>
    </chartFormat>
    <chartFormat chart="2" format="350">
      <pivotArea type="data" outline="0" fieldPosition="0">
        <references count="4">
          <reference field="4294967294" count="1" selected="0">
            <x v="0"/>
          </reference>
          <reference field="2" count="1" selected="0">
            <x v="12"/>
          </reference>
          <reference field="9" count="1" selected="0">
            <x v="5"/>
          </reference>
          <reference field="10" count="1" selected="0">
            <x v="1"/>
          </reference>
        </references>
      </pivotArea>
    </chartFormat>
    <chartFormat chart="2" format="351" series="1">
      <pivotArea type="data" outline="0" fieldPosition="0">
        <references count="3">
          <reference field="4294967294" count="1" selected="0">
            <x v="0"/>
          </reference>
          <reference field="9" count="1" selected="0">
            <x v="6"/>
          </reference>
          <reference field="10" count="1" selected="0">
            <x v="1"/>
          </reference>
        </references>
      </pivotArea>
    </chartFormat>
    <chartFormat chart="2" format="352">
      <pivotArea type="data" outline="0" fieldPosition="0">
        <references count="4">
          <reference field="4294967294" count="1" selected="0">
            <x v="0"/>
          </reference>
          <reference field="2" count="1" selected="0">
            <x v="0"/>
          </reference>
          <reference field="9" count="1" selected="0">
            <x v="6"/>
          </reference>
          <reference field="10" count="1" selected="0">
            <x v="1"/>
          </reference>
        </references>
      </pivotArea>
    </chartFormat>
    <chartFormat chart="2" format="353">
      <pivotArea type="data" outline="0" fieldPosition="0">
        <references count="4">
          <reference field="4294967294" count="1" selected="0">
            <x v="0"/>
          </reference>
          <reference field="2" count="1" selected="0">
            <x v="1"/>
          </reference>
          <reference field="9" count="1" selected="0">
            <x v="6"/>
          </reference>
          <reference field="10" count="1" selected="0">
            <x v="1"/>
          </reference>
        </references>
      </pivotArea>
    </chartFormat>
    <chartFormat chart="2" format="354">
      <pivotArea type="data" outline="0" fieldPosition="0">
        <references count="4">
          <reference field="4294967294" count="1" selected="0">
            <x v="0"/>
          </reference>
          <reference field="2" count="1" selected="0">
            <x v="2"/>
          </reference>
          <reference field="9" count="1" selected="0">
            <x v="6"/>
          </reference>
          <reference field="10" count="1" selected="0">
            <x v="1"/>
          </reference>
        </references>
      </pivotArea>
    </chartFormat>
    <chartFormat chart="2" format="355">
      <pivotArea type="data" outline="0" fieldPosition="0">
        <references count="4">
          <reference field="4294967294" count="1" selected="0">
            <x v="0"/>
          </reference>
          <reference field="2" count="1" selected="0">
            <x v="3"/>
          </reference>
          <reference field="9" count="1" selected="0">
            <x v="6"/>
          </reference>
          <reference field="10" count="1" selected="0">
            <x v="1"/>
          </reference>
        </references>
      </pivotArea>
    </chartFormat>
    <chartFormat chart="2" format="356">
      <pivotArea type="data" outline="0" fieldPosition="0">
        <references count="4">
          <reference field="4294967294" count="1" selected="0">
            <x v="0"/>
          </reference>
          <reference field="2" count="1" selected="0">
            <x v="4"/>
          </reference>
          <reference field="9" count="1" selected="0">
            <x v="6"/>
          </reference>
          <reference field="10" count="1" selected="0">
            <x v="1"/>
          </reference>
        </references>
      </pivotArea>
    </chartFormat>
    <chartFormat chart="2" format="357">
      <pivotArea type="data" outline="0" fieldPosition="0">
        <references count="4">
          <reference field="4294967294" count="1" selected="0">
            <x v="0"/>
          </reference>
          <reference field="2" count="1" selected="0">
            <x v="5"/>
          </reference>
          <reference field="9" count="1" selected="0">
            <x v="6"/>
          </reference>
          <reference field="10" count="1" selected="0">
            <x v="1"/>
          </reference>
        </references>
      </pivotArea>
    </chartFormat>
    <chartFormat chart="2" format="358">
      <pivotArea type="data" outline="0" fieldPosition="0">
        <references count="4">
          <reference field="4294967294" count="1" selected="0">
            <x v="0"/>
          </reference>
          <reference field="2" count="1" selected="0">
            <x v="6"/>
          </reference>
          <reference field="9" count="1" selected="0">
            <x v="6"/>
          </reference>
          <reference field="10" count="1" selected="0">
            <x v="1"/>
          </reference>
        </references>
      </pivotArea>
    </chartFormat>
    <chartFormat chart="2" format="359">
      <pivotArea type="data" outline="0" fieldPosition="0">
        <references count="4">
          <reference field="4294967294" count="1" selected="0">
            <x v="0"/>
          </reference>
          <reference field="2" count="1" selected="0">
            <x v="7"/>
          </reference>
          <reference field="9" count="1" selected="0">
            <x v="6"/>
          </reference>
          <reference field="10" count="1" selected="0">
            <x v="1"/>
          </reference>
        </references>
      </pivotArea>
    </chartFormat>
    <chartFormat chart="2" format="360">
      <pivotArea type="data" outline="0" fieldPosition="0">
        <references count="4">
          <reference field="4294967294" count="1" selected="0">
            <x v="0"/>
          </reference>
          <reference field="2" count="1" selected="0">
            <x v="8"/>
          </reference>
          <reference field="9" count="1" selected="0">
            <x v="6"/>
          </reference>
          <reference field="10" count="1" selected="0">
            <x v="1"/>
          </reference>
        </references>
      </pivotArea>
    </chartFormat>
    <chartFormat chart="2" format="361">
      <pivotArea type="data" outline="0" fieldPosition="0">
        <references count="4">
          <reference field="4294967294" count="1" selected="0">
            <x v="0"/>
          </reference>
          <reference field="2" count="1" selected="0">
            <x v="9"/>
          </reference>
          <reference field="9" count="1" selected="0">
            <x v="6"/>
          </reference>
          <reference field="10" count="1" selected="0">
            <x v="1"/>
          </reference>
        </references>
      </pivotArea>
    </chartFormat>
    <chartFormat chart="2" format="362">
      <pivotArea type="data" outline="0" fieldPosition="0">
        <references count="4">
          <reference field="4294967294" count="1" selected="0">
            <x v="0"/>
          </reference>
          <reference field="2" count="1" selected="0">
            <x v="10"/>
          </reference>
          <reference field="9" count="1" selected="0">
            <x v="6"/>
          </reference>
          <reference field="10" count="1" selected="0">
            <x v="1"/>
          </reference>
        </references>
      </pivotArea>
    </chartFormat>
    <chartFormat chart="2" format="363">
      <pivotArea type="data" outline="0" fieldPosition="0">
        <references count="4">
          <reference field="4294967294" count="1" selected="0">
            <x v="0"/>
          </reference>
          <reference field="2" count="1" selected="0">
            <x v="11"/>
          </reference>
          <reference field="9" count="1" selected="0">
            <x v="6"/>
          </reference>
          <reference field="10" count="1" selected="0">
            <x v="1"/>
          </reference>
        </references>
      </pivotArea>
    </chartFormat>
    <chartFormat chart="2" format="364">
      <pivotArea type="data" outline="0" fieldPosition="0">
        <references count="4">
          <reference field="4294967294" count="1" selected="0">
            <x v="0"/>
          </reference>
          <reference field="2" count="1" selected="0">
            <x v="12"/>
          </reference>
          <reference field="9" count="1" selected="0">
            <x v="6"/>
          </reference>
          <reference field="10" count="1" selected="0">
            <x v="1"/>
          </reference>
        </references>
      </pivotArea>
    </chartFormat>
    <chartFormat chart="2" format="365" series="1">
      <pivotArea type="data" outline="0" fieldPosition="0">
        <references count="3">
          <reference field="4294967294" count="1" selected="0">
            <x v="0"/>
          </reference>
          <reference field="9" count="1" selected="0">
            <x v="7"/>
          </reference>
          <reference field="10" count="1" selected="0">
            <x v="1"/>
          </reference>
        </references>
      </pivotArea>
    </chartFormat>
    <chartFormat chart="2" format="366">
      <pivotArea type="data" outline="0" fieldPosition="0">
        <references count="4">
          <reference field="4294967294" count="1" selected="0">
            <x v="0"/>
          </reference>
          <reference field="2" count="1" selected="0">
            <x v="0"/>
          </reference>
          <reference field="9" count="1" selected="0">
            <x v="7"/>
          </reference>
          <reference field="10" count="1" selected="0">
            <x v="1"/>
          </reference>
        </references>
      </pivotArea>
    </chartFormat>
    <chartFormat chart="2" format="367">
      <pivotArea type="data" outline="0" fieldPosition="0">
        <references count="4">
          <reference field="4294967294" count="1" selected="0">
            <x v="0"/>
          </reference>
          <reference field="2" count="1" selected="0">
            <x v="1"/>
          </reference>
          <reference field="9" count="1" selected="0">
            <x v="7"/>
          </reference>
          <reference field="10" count="1" selected="0">
            <x v="1"/>
          </reference>
        </references>
      </pivotArea>
    </chartFormat>
    <chartFormat chart="2" format="368">
      <pivotArea type="data" outline="0" fieldPosition="0">
        <references count="4">
          <reference field="4294967294" count="1" selected="0">
            <x v="0"/>
          </reference>
          <reference field="2" count="1" selected="0">
            <x v="2"/>
          </reference>
          <reference field="9" count="1" selected="0">
            <x v="7"/>
          </reference>
          <reference field="10" count="1" selected="0">
            <x v="1"/>
          </reference>
        </references>
      </pivotArea>
    </chartFormat>
    <chartFormat chart="2" format="369">
      <pivotArea type="data" outline="0" fieldPosition="0">
        <references count="4">
          <reference field="4294967294" count="1" selected="0">
            <x v="0"/>
          </reference>
          <reference field="2" count="1" selected="0">
            <x v="3"/>
          </reference>
          <reference field="9" count="1" selected="0">
            <x v="7"/>
          </reference>
          <reference field="10" count="1" selected="0">
            <x v="1"/>
          </reference>
        </references>
      </pivotArea>
    </chartFormat>
    <chartFormat chart="2" format="370">
      <pivotArea type="data" outline="0" fieldPosition="0">
        <references count="4">
          <reference field="4294967294" count="1" selected="0">
            <x v="0"/>
          </reference>
          <reference field="2" count="1" selected="0">
            <x v="4"/>
          </reference>
          <reference field="9" count="1" selected="0">
            <x v="7"/>
          </reference>
          <reference field="10" count="1" selected="0">
            <x v="1"/>
          </reference>
        </references>
      </pivotArea>
    </chartFormat>
    <chartFormat chart="2" format="371">
      <pivotArea type="data" outline="0" fieldPosition="0">
        <references count="4">
          <reference field="4294967294" count="1" selected="0">
            <x v="0"/>
          </reference>
          <reference field="2" count="1" selected="0">
            <x v="5"/>
          </reference>
          <reference field="9" count="1" selected="0">
            <x v="7"/>
          </reference>
          <reference field="10" count="1" selected="0">
            <x v="1"/>
          </reference>
        </references>
      </pivotArea>
    </chartFormat>
    <chartFormat chart="2" format="372">
      <pivotArea type="data" outline="0" fieldPosition="0">
        <references count="4">
          <reference field="4294967294" count="1" selected="0">
            <x v="0"/>
          </reference>
          <reference field="2" count="1" selected="0">
            <x v="6"/>
          </reference>
          <reference field="9" count="1" selected="0">
            <x v="7"/>
          </reference>
          <reference field="10" count="1" selected="0">
            <x v="1"/>
          </reference>
        </references>
      </pivotArea>
    </chartFormat>
    <chartFormat chart="2" format="373">
      <pivotArea type="data" outline="0" fieldPosition="0">
        <references count="4">
          <reference field="4294967294" count="1" selected="0">
            <x v="0"/>
          </reference>
          <reference field="2" count="1" selected="0">
            <x v="7"/>
          </reference>
          <reference field="9" count="1" selected="0">
            <x v="7"/>
          </reference>
          <reference field="10" count="1" selected="0">
            <x v="1"/>
          </reference>
        </references>
      </pivotArea>
    </chartFormat>
    <chartFormat chart="2" format="374">
      <pivotArea type="data" outline="0" fieldPosition="0">
        <references count="4">
          <reference field="4294967294" count="1" selected="0">
            <x v="0"/>
          </reference>
          <reference field="2" count="1" selected="0">
            <x v="8"/>
          </reference>
          <reference field="9" count="1" selected="0">
            <x v="7"/>
          </reference>
          <reference field="10" count="1" selected="0">
            <x v="1"/>
          </reference>
        </references>
      </pivotArea>
    </chartFormat>
    <chartFormat chart="2" format="375">
      <pivotArea type="data" outline="0" fieldPosition="0">
        <references count="4">
          <reference field="4294967294" count="1" selected="0">
            <x v="0"/>
          </reference>
          <reference field="2" count="1" selected="0">
            <x v="9"/>
          </reference>
          <reference field="9" count="1" selected="0">
            <x v="7"/>
          </reference>
          <reference field="10" count="1" selected="0">
            <x v="1"/>
          </reference>
        </references>
      </pivotArea>
    </chartFormat>
    <chartFormat chart="2" format="376">
      <pivotArea type="data" outline="0" fieldPosition="0">
        <references count="4">
          <reference field="4294967294" count="1" selected="0">
            <x v="0"/>
          </reference>
          <reference field="2" count="1" selected="0">
            <x v="10"/>
          </reference>
          <reference field="9" count="1" selected="0">
            <x v="7"/>
          </reference>
          <reference field="10" count="1" selected="0">
            <x v="1"/>
          </reference>
        </references>
      </pivotArea>
    </chartFormat>
    <chartFormat chart="2" format="377">
      <pivotArea type="data" outline="0" fieldPosition="0">
        <references count="4">
          <reference field="4294967294" count="1" selected="0">
            <x v="0"/>
          </reference>
          <reference field="2" count="1" selected="0">
            <x v="11"/>
          </reference>
          <reference field="9" count="1" selected="0">
            <x v="7"/>
          </reference>
          <reference field="10" count="1" selected="0">
            <x v="1"/>
          </reference>
        </references>
      </pivotArea>
    </chartFormat>
    <chartFormat chart="2" format="378">
      <pivotArea type="data" outline="0" fieldPosition="0">
        <references count="4">
          <reference field="4294967294" count="1" selected="0">
            <x v="0"/>
          </reference>
          <reference field="2" count="1" selected="0">
            <x v="12"/>
          </reference>
          <reference field="9" count="1" selected="0">
            <x v="7"/>
          </reference>
          <reference field="10" count="1" selected="0">
            <x v="1"/>
          </reference>
        </references>
      </pivotArea>
    </chartFormat>
    <chartFormat chart="2" format="379" series="1">
      <pivotArea type="data" outline="0" fieldPosition="0">
        <references count="3">
          <reference field="4294967294" count="1" selected="0">
            <x v="0"/>
          </reference>
          <reference field="9" count="1" selected="0">
            <x v="0"/>
          </reference>
          <reference field="10" count="1" selected="0">
            <x v="2"/>
          </reference>
        </references>
      </pivotArea>
    </chartFormat>
    <chartFormat chart="2" format="380">
      <pivotArea type="data" outline="0" fieldPosition="0">
        <references count="4">
          <reference field="4294967294" count="1" selected="0">
            <x v="0"/>
          </reference>
          <reference field="2" count="1" selected="0">
            <x v="0"/>
          </reference>
          <reference field="9" count="1" selected="0">
            <x v="0"/>
          </reference>
          <reference field="10" count="1" selected="0">
            <x v="2"/>
          </reference>
        </references>
      </pivotArea>
    </chartFormat>
    <chartFormat chart="2" format="381">
      <pivotArea type="data" outline="0" fieldPosition="0">
        <references count="4">
          <reference field="4294967294" count="1" selected="0">
            <x v="0"/>
          </reference>
          <reference field="2" count="1" selected="0">
            <x v="1"/>
          </reference>
          <reference field="9" count="1" selected="0">
            <x v="0"/>
          </reference>
          <reference field="10" count="1" selected="0">
            <x v="2"/>
          </reference>
        </references>
      </pivotArea>
    </chartFormat>
    <chartFormat chart="2" format="382">
      <pivotArea type="data" outline="0" fieldPosition="0">
        <references count="4">
          <reference field="4294967294" count="1" selected="0">
            <x v="0"/>
          </reference>
          <reference field="2" count="1" selected="0">
            <x v="2"/>
          </reference>
          <reference field="9" count="1" selected="0">
            <x v="0"/>
          </reference>
          <reference field="10" count="1" selected="0">
            <x v="2"/>
          </reference>
        </references>
      </pivotArea>
    </chartFormat>
    <chartFormat chart="2" format="383">
      <pivotArea type="data" outline="0" fieldPosition="0">
        <references count="4">
          <reference field="4294967294" count="1" selected="0">
            <x v="0"/>
          </reference>
          <reference field="2" count="1" selected="0">
            <x v="3"/>
          </reference>
          <reference field="9" count="1" selected="0">
            <x v="0"/>
          </reference>
          <reference field="10" count="1" selected="0">
            <x v="2"/>
          </reference>
        </references>
      </pivotArea>
    </chartFormat>
    <chartFormat chart="2" format="384">
      <pivotArea type="data" outline="0" fieldPosition="0">
        <references count="4">
          <reference field="4294967294" count="1" selected="0">
            <x v="0"/>
          </reference>
          <reference field="2" count="1" selected="0">
            <x v="4"/>
          </reference>
          <reference field="9" count="1" selected="0">
            <x v="0"/>
          </reference>
          <reference field="10" count="1" selected="0">
            <x v="2"/>
          </reference>
        </references>
      </pivotArea>
    </chartFormat>
    <chartFormat chart="2" format="385">
      <pivotArea type="data" outline="0" fieldPosition="0">
        <references count="4">
          <reference field="4294967294" count="1" selected="0">
            <x v="0"/>
          </reference>
          <reference field="2" count="1" selected="0">
            <x v="5"/>
          </reference>
          <reference field="9" count="1" selected="0">
            <x v="0"/>
          </reference>
          <reference field="10" count="1" selected="0">
            <x v="2"/>
          </reference>
        </references>
      </pivotArea>
    </chartFormat>
    <chartFormat chart="2" format="386">
      <pivotArea type="data" outline="0" fieldPosition="0">
        <references count="4">
          <reference field="4294967294" count="1" selected="0">
            <x v="0"/>
          </reference>
          <reference field="2" count="1" selected="0">
            <x v="6"/>
          </reference>
          <reference field="9" count="1" selected="0">
            <x v="0"/>
          </reference>
          <reference field="10" count="1" selected="0">
            <x v="2"/>
          </reference>
        </references>
      </pivotArea>
    </chartFormat>
    <chartFormat chart="2" format="387">
      <pivotArea type="data" outline="0" fieldPosition="0">
        <references count="4">
          <reference field="4294967294" count="1" selected="0">
            <x v="0"/>
          </reference>
          <reference field="2" count="1" selected="0">
            <x v="7"/>
          </reference>
          <reference field="9" count="1" selected="0">
            <x v="0"/>
          </reference>
          <reference field="10" count="1" selected="0">
            <x v="2"/>
          </reference>
        </references>
      </pivotArea>
    </chartFormat>
    <chartFormat chart="2" format="388">
      <pivotArea type="data" outline="0" fieldPosition="0">
        <references count="4">
          <reference field="4294967294" count="1" selected="0">
            <x v="0"/>
          </reference>
          <reference field="2" count="1" selected="0">
            <x v="8"/>
          </reference>
          <reference field="9" count="1" selected="0">
            <x v="0"/>
          </reference>
          <reference field="10" count="1" selected="0">
            <x v="2"/>
          </reference>
        </references>
      </pivotArea>
    </chartFormat>
    <chartFormat chart="2" format="389">
      <pivotArea type="data" outline="0" fieldPosition="0">
        <references count="4">
          <reference field="4294967294" count="1" selected="0">
            <x v="0"/>
          </reference>
          <reference field="2" count="1" selected="0">
            <x v="9"/>
          </reference>
          <reference field="9" count="1" selected="0">
            <x v="0"/>
          </reference>
          <reference field="10" count="1" selected="0">
            <x v="2"/>
          </reference>
        </references>
      </pivotArea>
    </chartFormat>
    <chartFormat chart="2" format="390">
      <pivotArea type="data" outline="0" fieldPosition="0">
        <references count="4">
          <reference field="4294967294" count="1" selected="0">
            <x v="0"/>
          </reference>
          <reference field="2" count="1" selected="0">
            <x v="10"/>
          </reference>
          <reference field="9" count="1" selected="0">
            <x v="0"/>
          </reference>
          <reference field="10" count="1" selected="0">
            <x v="2"/>
          </reference>
        </references>
      </pivotArea>
    </chartFormat>
    <chartFormat chart="2" format="391">
      <pivotArea type="data" outline="0" fieldPosition="0">
        <references count="4">
          <reference field="4294967294" count="1" selected="0">
            <x v="0"/>
          </reference>
          <reference field="2" count="1" selected="0">
            <x v="11"/>
          </reference>
          <reference field="9" count="1" selected="0">
            <x v="0"/>
          </reference>
          <reference field="10" count="1" selected="0">
            <x v="2"/>
          </reference>
        </references>
      </pivotArea>
    </chartFormat>
    <chartFormat chart="2" format="392">
      <pivotArea type="data" outline="0" fieldPosition="0">
        <references count="4">
          <reference field="4294967294" count="1" selected="0">
            <x v="0"/>
          </reference>
          <reference field="2" count="1" selected="0">
            <x v="12"/>
          </reference>
          <reference field="9" count="1" selected="0">
            <x v="0"/>
          </reference>
          <reference field="10" count="1" selected="0">
            <x v="2"/>
          </reference>
        </references>
      </pivotArea>
    </chartFormat>
    <chartFormat chart="2" format="393" series="1">
      <pivotArea type="data" outline="0" fieldPosition="0">
        <references count="3">
          <reference field="4294967294" count="1" selected="0">
            <x v="0"/>
          </reference>
          <reference field="9" count="1" selected="0">
            <x v="1"/>
          </reference>
          <reference field="10" count="1" selected="0">
            <x v="2"/>
          </reference>
        </references>
      </pivotArea>
    </chartFormat>
    <chartFormat chart="2" format="394">
      <pivotArea type="data" outline="0" fieldPosition="0">
        <references count="4">
          <reference field="4294967294" count="1" selected="0">
            <x v="0"/>
          </reference>
          <reference field="2" count="1" selected="0">
            <x v="0"/>
          </reference>
          <reference field="9" count="1" selected="0">
            <x v="1"/>
          </reference>
          <reference field="10" count="1" selected="0">
            <x v="2"/>
          </reference>
        </references>
      </pivotArea>
    </chartFormat>
    <chartFormat chart="2" format="395">
      <pivotArea type="data" outline="0" fieldPosition="0">
        <references count="4">
          <reference field="4294967294" count="1" selected="0">
            <x v="0"/>
          </reference>
          <reference field="2" count="1" selected="0">
            <x v="1"/>
          </reference>
          <reference field="9" count="1" selected="0">
            <x v="1"/>
          </reference>
          <reference field="10" count="1" selected="0">
            <x v="2"/>
          </reference>
        </references>
      </pivotArea>
    </chartFormat>
    <chartFormat chart="2" format="396">
      <pivotArea type="data" outline="0" fieldPosition="0">
        <references count="4">
          <reference field="4294967294" count="1" selected="0">
            <x v="0"/>
          </reference>
          <reference field="2" count="1" selected="0">
            <x v="2"/>
          </reference>
          <reference field="9" count="1" selected="0">
            <x v="1"/>
          </reference>
          <reference field="10" count="1" selected="0">
            <x v="2"/>
          </reference>
        </references>
      </pivotArea>
    </chartFormat>
    <chartFormat chart="2" format="397">
      <pivotArea type="data" outline="0" fieldPosition="0">
        <references count="4">
          <reference field="4294967294" count="1" selected="0">
            <x v="0"/>
          </reference>
          <reference field="2" count="1" selected="0">
            <x v="3"/>
          </reference>
          <reference field="9" count="1" selected="0">
            <x v="1"/>
          </reference>
          <reference field="10" count="1" selected="0">
            <x v="2"/>
          </reference>
        </references>
      </pivotArea>
    </chartFormat>
    <chartFormat chart="2" format="398">
      <pivotArea type="data" outline="0" fieldPosition="0">
        <references count="4">
          <reference field="4294967294" count="1" selected="0">
            <x v="0"/>
          </reference>
          <reference field="2" count="1" selected="0">
            <x v="4"/>
          </reference>
          <reference field="9" count="1" selected="0">
            <x v="1"/>
          </reference>
          <reference field="10" count="1" selected="0">
            <x v="2"/>
          </reference>
        </references>
      </pivotArea>
    </chartFormat>
    <chartFormat chart="2" format="399">
      <pivotArea type="data" outline="0" fieldPosition="0">
        <references count="4">
          <reference field="4294967294" count="1" selected="0">
            <x v="0"/>
          </reference>
          <reference field="2" count="1" selected="0">
            <x v="5"/>
          </reference>
          <reference field="9" count="1" selected="0">
            <x v="1"/>
          </reference>
          <reference field="10" count="1" selected="0">
            <x v="2"/>
          </reference>
        </references>
      </pivotArea>
    </chartFormat>
    <chartFormat chart="2" format="400">
      <pivotArea type="data" outline="0" fieldPosition="0">
        <references count="4">
          <reference field="4294967294" count="1" selected="0">
            <x v="0"/>
          </reference>
          <reference field="2" count="1" selected="0">
            <x v="6"/>
          </reference>
          <reference field="9" count="1" selected="0">
            <x v="1"/>
          </reference>
          <reference field="10" count="1" selected="0">
            <x v="2"/>
          </reference>
        </references>
      </pivotArea>
    </chartFormat>
    <chartFormat chart="2" format="401">
      <pivotArea type="data" outline="0" fieldPosition="0">
        <references count="4">
          <reference field="4294967294" count="1" selected="0">
            <x v="0"/>
          </reference>
          <reference field="2" count="1" selected="0">
            <x v="7"/>
          </reference>
          <reference field="9" count="1" selected="0">
            <x v="1"/>
          </reference>
          <reference field="10" count="1" selected="0">
            <x v="2"/>
          </reference>
        </references>
      </pivotArea>
    </chartFormat>
    <chartFormat chart="2" format="402">
      <pivotArea type="data" outline="0" fieldPosition="0">
        <references count="4">
          <reference field="4294967294" count="1" selected="0">
            <x v="0"/>
          </reference>
          <reference field="2" count="1" selected="0">
            <x v="8"/>
          </reference>
          <reference field="9" count="1" selected="0">
            <x v="1"/>
          </reference>
          <reference field="10" count="1" selected="0">
            <x v="2"/>
          </reference>
        </references>
      </pivotArea>
    </chartFormat>
    <chartFormat chart="2" format="403">
      <pivotArea type="data" outline="0" fieldPosition="0">
        <references count="4">
          <reference field="4294967294" count="1" selected="0">
            <x v="0"/>
          </reference>
          <reference field="2" count="1" selected="0">
            <x v="9"/>
          </reference>
          <reference field="9" count="1" selected="0">
            <x v="1"/>
          </reference>
          <reference field="10" count="1" selected="0">
            <x v="2"/>
          </reference>
        </references>
      </pivotArea>
    </chartFormat>
    <chartFormat chart="2" format="404">
      <pivotArea type="data" outline="0" fieldPosition="0">
        <references count="4">
          <reference field="4294967294" count="1" selected="0">
            <x v="0"/>
          </reference>
          <reference field="2" count="1" selected="0">
            <x v="10"/>
          </reference>
          <reference field="9" count="1" selected="0">
            <x v="1"/>
          </reference>
          <reference field="10" count="1" selected="0">
            <x v="2"/>
          </reference>
        </references>
      </pivotArea>
    </chartFormat>
    <chartFormat chart="2" format="405">
      <pivotArea type="data" outline="0" fieldPosition="0">
        <references count="4">
          <reference field="4294967294" count="1" selected="0">
            <x v="0"/>
          </reference>
          <reference field="2" count="1" selected="0">
            <x v="11"/>
          </reference>
          <reference field="9" count="1" selected="0">
            <x v="1"/>
          </reference>
          <reference field="10" count="1" selected="0">
            <x v="2"/>
          </reference>
        </references>
      </pivotArea>
    </chartFormat>
    <chartFormat chart="2" format="406">
      <pivotArea type="data" outline="0" fieldPosition="0">
        <references count="4">
          <reference field="4294967294" count="1" selected="0">
            <x v="0"/>
          </reference>
          <reference field="2" count="1" selected="0">
            <x v="12"/>
          </reference>
          <reference field="9" count="1" selected="0">
            <x v="1"/>
          </reference>
          <reference field="10" count="1" selected="0">
            <x v="2"/>
          </reference>
        </references>
      </pivotArea>
    </chartFormat>
    <chartFormat chart="2" format="407" series="1">
      <pivotArea type="data" outline="0" fieldPosition="0">
        <references count="3">
          <reference field="4294967294" count="1" selected="0">
            <x v="0"/>
          </reference>
          <reference field="9" count="1" selected="0">
            <x v="2"/>
          </reference>
          <reference field="10" count="1" selected="0">
            <x v="2"/>
          </reference>
        </references>
      </pivotArea>
    </chartFormat>
    <chartFormat chart="2" format="408">
      <pivotArea type="data" outline="0" fieldPosition="0">
        <references count="4">
          <reference field="4294967294" count="1" selected="0">
            <x v="0"/>
          </reference>
          <reference field="2" count="1" selected="0">
            <x v="0"/>
          </reference>
          <reference field="9" count="1" selected="0">
            <x v="2"/>
          </reference>
          <reference field="10" count="1" selected="0">
            <x v="2"/>
          </reference>
        </references>
      </pivotArea>
    </chartFormat>
    <chartFormat chart="2" format="409">
      <pivotArea type="data" outline="0" fieldPosition="0">
        <references count="4">
          <reference field="4294967294" count="1" selected="0">
            <x v="0"/>
          </reference>
          <reference field="2" count="1" selected="0">
            <x v="1"/>
          </reference>
          <reference field="9" count="1" selected="0">
            <x v="2"/>
          </reference>
          <reference field="10" count="1" selected="0">
            <x v="2"/>
          </reference>
        </references>
      </pivotArea>
    </chartFormat>
    <chartFormat chart="2" format="410">
      <pivotArea type="data" outline="0" fieldPosition="0">
        <references count="4">
          <reference field="4294967294" count="1" selected="0">
            <x v="0"/>
          </reference>
          <reference field="2" count="1" selected="0">
            <x v="2"/>
          </reference>
          <reference field="9" count="1" selected="0">
            <x v="2"/>
          </reference>
          <reference field="10" count="1" selected="0">
            <x v="2"/>
          </reference>
        </references>
      </pivotArea>
    </chartFormat>
    <chartFormat chart="2" format="411">
      <pivotArea type="data" outline="0" fieldPosition="0">
        <references count="4">
          <reference field="4294967294" count="1" selected="0">
            <x v="0"/>
          </reference>
          <reference field="2" count="1" selected="0">
            <x v="3"/>
          </reference>
          <reference field="9" count="1" selected="0">
            <x v="2"/>
          </reference>
          <reference field="10" count="1" selected="0">
            <x v="2"/>
          </reference>
        </references>
      </pivotArea>
    </chartFormat>
    <chartFormat chart="2" format="412">
      <pivotArea type="data" outline="0" fieldPosition="0">
        <references count="4">
          <reference field="4294967294" count="1" selected="0">
            <x v="0"/>
          </reference>
          <reference field="2" count="1" selected="0">
            <x v="4"/>
          </reference>
          <reference field="9" count="1" selected="0">
            <x v="2"/>
          </reference>
          <reference field="10" count="1" selected="0">
            <x v="2"/>
          </reference>
        </references>
      </pivotArea>
    </chartFormat>
    <chartFormat chart="2" format="413">
      <pivotArea type="data" outline="0" fieldPosition="0">
        <references count="4">
          <reference field="4294967294" count="1" selected="0">
            <x v="0"/>
          </reference>
          <reference field="2" count="1" selected="0">
            <x v="5"/>
          </reference>
          <reference field="9" count="1" selected="0">
            <x v="2"/>
          </reference>
          <reference field="10" count="1" selected="0">
            <x v="2"/>
          </reference>
        </references>
      </pivotArea>
    </chartFormat>
    <chartFormat chart="2" format="414">
      <pivotArea type="data" outline="0" fieldPosition="0">
        <references count="4">
          <reference field="4294967294" count="1" selected="0">
            <x v="0"/>
          </reference>
          <reference field="2" count="1" selected="0">
            <x v="6"/>
          </reference>
          <reference field="9" count="1" selected="0">
            <x v="2"/>
          </reference>
          <reference field="10" count="1" selected="0">
            <x v="2"/>
          </reference>
        </references>
      </pivotArea>
    </chartFormat>
    <chartFormat chart="2" format="415">
      <pivotArea type="data" outline="0" fieldPosition="0">
        <references count="4">
          <reference field="4294967294" count="1" selected="0">
            <x v="0"/>
          </reference>
          <reference field="2" count="1" selected="0">
            <x v="7"/>
          </reference>
          <reference field="9" count="1" selected="0">
            <x v="2"/>
          </reference>
          <reference field="10" count="1" selected="0">
            <x v="2"/>
          </reference>
        </references>
      </pivotArea>
    </chartFormat>
    <chartFormat chart="2" format="416">
      <pivotArea type="data" outline="0" fieldPosition="0">
        <references count="4">
          <reference field="4294967294" count="1" selected="0">
            <x v="0"/>
          </reference>
          <reference field="2" count="1" selected="0">
            <x v="8"/>
          </reference>
          <reference field="9" count="1" selected="0">
            <x v="2"/>
          </reference>
          <reference field="10" count="1" selected="0">
            <x v="2"/>
          </reference>
        </references>
      </pivotArea>
    </chartFormat>
    <chartFormat chart="2" format="417">
      <pivotArea type="data" outline="0" fieldPosition="0">
        <references count="4">
          <reference field="4294967294" count="1" selected="0">
            <x v="0"/>
          </reference>
          <reference field="2" count="1" selected="0">
            <x v="9"/>
          </reference>
          <reference field="9" count="1" selected="0">
            <x v="2"/>
          </reference>
          <reference field="10" count="1" selected="0">
            <x v="2"/>
          </reference>
        </references>
      </pivotArea>
    </chartFormat>
    <chartFormat chart="2" format="418">
      <pivotArea type="data" outline="0" fieldPosition="0">
        <references count="4">
          <reference field="4294967294" count="1" selected="0">
            <x v="0"/>
          </reference>
          <reference field="2" count="1" selected="0">
            <x v="10"/>
          </reference>
          <reference field="9" count="1" selected="0">
            <x v="2"/>
          </reference>
          <reference field="10" count="1" selected="0">
            <x v="2"/>
          </reference>
        </references>
      </pivotArea>
    </chartFormat>
    <chartFormat chart="2" format="419">
      <pivotArea type="data" outline="0" fieldPosition="0">
        <references count="4">
          <reference field="4294967294" count="1" selected="0">
            <x v="0"/>
          </reference>
          <reference field="2" count="1" selected="0">
            <x v="11"/>
          </reference>
          <reference field="9" count="1" selected="0">
            <x v="2"/>
          </reference>
          <reference field="10" count="1" selected="0">
            <x v="2"/>
          </reference>
        </references>
      </pivotArea>
    </chartFormat>
    <chartFormat chart="2" format="420">
      <pivotArea type="data" outline="0" fieldPosition="0">
        <references count="4">
          <reference field="4294967294" count="1" selected="0">
            <x v="0"/>
          </reference>
          <reference field="2" count="1" selected="0">
            <x v="12"/>
          </reference>
          <reference field="9" count="1" selected="0">
            <x v="2"/>
          </reference>
          <reference field="10" count="1" selected="0">
            <x v="2"/>
          </reference>
        </references>
      </pivotArea>
    </chartFormat>
    <chartFormat chart="2" format="421" series="1">
      <pivotArea type="data" outline="0" fieldPosition="0">
        <references count="3">
          <reference field="4294967294" count="1" selected="0">
            <x v="0"/>
          </reference>
          <reference field="9" count="1" selected="0">
            <x v="3"/>
          </reference>
          <reference field="10" count="1" selected="0">
            <x v="2"/>
          </reference>
        </references>
      </pivotArea>
    </chartFormat>
    <chartFormat chart="2" format="422">
      <pivotArea type="data" outline="0" fieldPosition="0">
        <references count="4">
          <reference field="4294967294" count="1" selected="0">
            <x v="0"/>
          </reference>
          <reference field="2" count="1" selected="0">
            <x v="0"/>
          </reference>
          <reference field="9" count="1" selected="0">
            <x v="3"/>
          </reference>
          <reference field="10" count="1" selected="0">
            <x v="2"/>
          </reference>
        </references>
      </pivotArea>
    </chartFormat>
    <chartFormat chart="2" format="423">
      <pivotArea type="data" outline="0" fieldPosition="0">
        <references count="4">
          <reference field="4294967294" count="1" selected="0">
            <x v="0"/>
          </reference>
          <reference field="2" count="1" selected="0">
            <x v="1"/>
          </reference>
          <reference field="9" count="1" selected="0">
            <x v="3"/>
          </reference>
          <reference field="10" count="1" selected="0">
            <x v="2"/>
          </reference>
        </references>
      </pivotArea>
    </chartFormat>
    <chartFormat chart="2" format="424">
      <pivotArea type="data" outline="0" fieldPosition="0">
        <references count="4">
          <reference field="4294967294" count="1" selected="0">
            <x v="0"/>
          </reference>
          <reference field="2" count="1" selected="0">
            <x v="2"/>
          </reference>
          <reference field="9" count="1" selected="0">
            <x v="3"/>
          </reference>
          <reference field="10" count="1" selected="0">
            <x v="2"/>
          </reference>
        </references>
      </pivotArea>
    </chartFormat>
    <chartFormat chart="2" format="425">
      <pivotArea type="data" outline="0" fieldPosition="0">
        <references count="4">
          <reference field="4294967294" count="1" selected="0">
            <x v="0"/>
          </reference>
          <reference field="2" count="1" selected="0">
            <x v="3"/>
          </reference>
          <reference field="9" count="1" selected="0">
            <x v="3"/>
          </reference>
          <reference field="10" count="1" selected="0">
            <x v="2"/>
          </reference>
        </references>
      </pivotArea>
    </chartFormat>
    <chartFormat chart="2" format="426">
      <pivotArea type="data" outline="0" fieldPosition="0">
        <references count="4">
          <reference field="4294967294" count="1" selected="0">
            <x v="0"/>
          </reference>
          <reference field="2" count="1" selected="0">
            <x v="4"/>
          </reference>
          <reference field="9" count="1" selected="0">
            <x v="3"/>
          </reference>
          <reference field="10" count="1" selected="0">
            <x v="2"/>
          </reference>
        </references>
      </pivotArea>
    </chartFormat>
    <chartFormat chart="2" format="427">
      <pivotArea type="data" outline="0" fieldPosition="0">
        <references count="4">
          <reference field="4294967294" count="1" selected="0">
            <x v="0"/>
          </reference>
          <reference field="2" count="1" selected="0">
            <x v="5"/>
          </reference>
          <reference field="9" count="1" selected="0">
            <x v="3"/>
          </reference>
          <reference field="10" count="1" selected="0">
            <x v="2"/>
          </reference>
        </references>
      </pivotArea>
    </chartFormat>
    <chartFormat chart="2" format="428">
      <pivotArea type="data" outline="0" fieldPosition="0">
        <references count="4">
          <reference field="4294967294" count="1" selected="0">
            <x v="0"/>
          </reference>
          <reference field="2" count="1" selected="0">
            <x v="6"/>
          </reference>
          <reference field="9" count="1" selected="0">
            <x v="3"/>
          </reference>
          <reference field="10" count="1" selected="0">
            <x v="2"/>
          </reference>
        </references>
      </pivotArea>
    </chartFormat>
    <chartFormat chart="2" format="429">
      <pivotArea type="data" outline="0" fieldPosition="0">
        <references count="4">
          <reference field="4294967294" count="1" selected="0">
            <x v="0"/>
          </reference>
          <reference field="2" count="1" selected="0">
            <x v="7"/>
          </reference>
          <reference field="9" count="1" selected="0">
            <x v="3"/>
          </reference>
          <reference field="10" count="1" selected="0">
            <x v="2"/>
          </reference>
        </references>
      </pivotArea>
    </chartFormat>
    <chartFormat chart="2" format="430">
      <pivotArea type="data" outline="0" fieldPosition="0">
        <references count="4">
          <reference field="4294967294" count="1" selected="0">
            <x v="0"/>
          </reference>
          <reference field="2" count="1" selected="0">
            <x v="8"/>
          </reference>
          <reference field="9" count="1" selected="0">
            <x v="3"/>
          </reference>
          <reference field="10" count="1" selected="0">
            <x v="2"/>
          </reference>
        </references>
      </pivotArea>
    </chartFormat>
    <chartFormat chart="2" format="431">
      <pivotArea type="data" outline="0" fieldPosition="0">
        <references count="4">
          <reference field="4294967294" count="1" selected="0">
            <x v="0"/>
          </reference>
          <reference field="2" count="1" selected="0">
            <x v="9"/>
          </reference>
          <reference field="9" count="1" selected="0">
            <x v="3"/>
          </reference>
          <reference field="10" count="1" selected="0">
            <x v="2"/>
          </reference>
        </references>
      </pivotArea>
    </chartFormat>
    <chartFormat chart="2" format="432">
      <pivotArea type="data" outline="0" fieldPosition="0">
        <references count="4">
          <reference field="4294967294" count="1" selected="0">
            <x v="0"/>
          </reference>
          <reference field="2" count="1" selected="0">
            <x v="10"/>
          </reference>
          <reference field="9" count="1" selected="0">
            <x v="3"/>
          </reference>
          <reference field="10" count="1" selected="0">
            <x v="2"/>
          </reference>
        </references>
      </pivotArea>
    </chartFormat>
    <chartFormat chart="2" format="433">
      <pivotArea type="data" outline="0" fieldPosition="0">
        <references count="4">
          <reference field="4294967294" count="1" selected="0">
            <x v="0"/>
          </reference>
          <reference field="2" count="1" selected="0">
            <x v="11"/>
          </reference>
          <reference field="9" count="1" selected="0">
            <x v="3"/>
          </reference>
          <reference field="10" count="1" selected="0">
            <x v="2"/>
          </reference>
        </references>
      </pivotArea>
    </chartFormat>
    <chartFormat chart="2" format="434">
      <pivotArea type="data" outline="0" fieldPosition="0">
        <references count="4">
          <reference field="4294967294" count="1" selected="0">
            <x v="0"/>
          </reference>
          <reference field="2" count="1" selected="0">
            <x v="12"/>
          </reference>
          <reference field="9" count="1" selected="0">
            <x v="3"/>
          </reference>
          <reference field="10" count="1" selected="0">
            <x v="2"/>
          </reference>
        </references>
      </pivotArea>
    </chartFormat>
    <chartFormat chart="2" format="435" series="1">
      <pivotArea type="data" outline="0" fieldPosition="0">
        <references count="3">
          <reference field="4294967294" count="1" selected="0">
            <x v="0"/>
          </reference>
          <reference field="9" count="1" selected="0">
            <x v="4"/>
          </reference>
          <reference field="10" count="1" selected="0">
            <x v="2"/>
          </reference>
        </references>
      </pivotArea>
    </chartFormat>
    <chartFormat chart="2" format="436">
      <pivotArea type="data" outline="0" fieldPosition="0">
        <references count="4">
          <reference field="4294967294" count="1" selected="0">
            <x v="0"/>
          </reference>
          <reference field="2" count="1" selected="0">
            <x v="0"/>
          </reference>
          <reference field="9" count="1" selected="0">
            <x v="4"/>
          </reference>
          <reference field="10" count="1" selected="0">
            <x v="2"/>
          </reference>
        </references>
      </pivotArea>
    </chartFormat>
    <chartFormat chart="2" format="437">
      <pivotArea type="data" outline="0" fieldPosition="0">
        <references count="4">
          <reference field="4294967294" count="1" selected="0">
            <x v="0"/>
          </reference>
          <reference field="2" count="1" selected="0">
            <x v="1"/>
          </reference>
          <reference field="9" count="1" selected="0">
            <x v="4"/>
          </reference>
          <reference field="10" count="1" selected="0">
            <x v="2"/>
          </reference>
        </references>
      </pivotArea>
    </chartFormat>
    <chartFormat chart="2" format="438">
      <pivotArea type="data" outline="0" fieldPosition="0">
        <references count="4">
          <reference field="4294967294" count="1" selected="0">
            <x v="0"/>
          </reference>
          <reference field="2" count="1" selected="0">
            <x v="2"/>
          </reference>
          <reference field="9" count="1" selected="0">
            <x v="4"/>
          </reference>
          <reference field="10" count="1" selected="0">
            <x v="2"/>
          </reference>
        </references>
      </pivotArea>
    </chartFormat>
    <chartFormat chart="2" format="439">
      <pivotArea type="data" outline="0" fieldPosition="0">
        <references count="4">
          <reference field="4294967294" count="1" selected="0">
            <x v="0"/>
          </reference>
          <reference field="2" count="1" selected="0">
            <x v="3"/>
          </reference>
          <reference field="9" count="1" selected="0">
            <x v="4"/>
          </reference>
          <reference field="10" count="1" selected="0">
            <x v="2"/>
          </reference>
        </references>
      </pivotArea>
    </chartFormat>
    <chartFormat chart="2" format="440">
      <pivotArea type="data" outline="0" fieldPosition="0">
        <references count="4">
          <reference field="4294967294" count="1" selected="0">
            <x v="0"/>
          </reference>
          <reference field="2" count="1" selected="0">
            <x v="4"/>
          </reference>
          <reference field="9" count="1" selected="0">
            <x v="4"/>
          </reference>
          <reference field="10" count="1" selected="0">
            <x v="2"/>
          </reference>
        </references>
      </pivotArea>
    </chartFormat>
    <chartFormat chart="2" format="441">
      <pivotArea type="data" outline="0" fieldPosition="0">
        <references count="4">
          <reference field="4294967294" count="1" selected="0">
            <x v="0"/>
          </reference>
          <reference field="2" count="1" selected="0">
            <x v="5"/>
          </reference>
          <reference field="9" count="1" selected="0">
            <x v="4"/>
          </reference>
          <reference field="10" count="1" selected="0">
            <x v="2"/>
          </reference>
        </references>
      </pivotArea>
    </chartFormat>
    <chartFormat chart="2" format="442">
      <pivotArea type="data" outline="0" fieldPosition="0">
        <references count="4">
          <reference field="4294967294" count="1" selected="0">
            <x v="0"/>
          </reference>
          <reference field="2" count="1" selected="0">
            <x v="6"/>
          </reference>
          <reference field="9" count="1" selected="0">
            <x v="4"/>
          </reference>
          <reference field="10" count="1" selected="0">
            <x v="2"/>
          </reference>
        </references>
      </pivotArea>
    </chartFormat>
    <chartFormat chart="2" format="443">
      <pivotArea type="data" outline="0" fieldPosition="0">
        <references count="4">
          <reference field="4294967294" count="1" selected="0">
            <x v="0"/>
          </reference>
          <reference field="2" count="1" selected="0">
            <x v="7"/>
          </reference>
          <reference field="9" count="1" selected="0">
            <x v="4"/>
          </reference>
          <reference field="10" count="1" selected="0">
            <x v="2"/>
          </reference>
        </references>
      </pivotArea>
    </chartFormat>
    <chartFormat chart="2" format="444">
      <pivotArea type="data" outline="0" fieldPosition="0">
        <references count="4">
          <reference field="4294967294" count="1" selected="0">
            <x v="0"/>
          </reference>
          <reference field="2" count="1" selected="0">
            <x v="8"/>
          </reference>
          <reference field="9" count="1" selected="0">
            <x v="4"/>
          </reference>
          <reference field="10" count="1" selected="0">
            <x v="2"/>
          </reference>
        </references>
      </pivotArea>
    </chartFormat>
    <chartFormat chart="2" format="445">
      <pivotArea type="data" outline="0" fieldPosition="0">
        <references count="4">
          <reference field="4294967294" count="1" selected="0">
            <x v="0"/>
          </reference>
          <reference field="2" count="1" selected="0">
            <x v="9"/>
          </reference>
          <reference field="9" count="1" selected="0">
            <x v="4"/>
          </reference>
          <reference field="10" count="1" selected="0">
            <x v="2"/>
          </reference>
        </references>
      </pivotArea>
    </chartFormat>
    <chartFormat chart="2" format="446">
      <pivotArea type="data" outline="0" fieldPosition="0">
        <references count="4">
          <reference field="4294967294" count="1" selected="0">
            <x v="0"/>
          </reference>
          <reference field="2" count="1" selected="0">
            <x v="10"/>
          </reference>
          <reference field="9" count="1" selected="0">
            <x v="4"/>
          </reference>
          <reference field="10" count="1" selected="0">
            <x v="2"/>
          </reference>
        </references>
      </pivotArea>
    </chartFormat>
    <chartFormat chart="2" format="447">
      <pivotArea type="data" outline="0" fieldPosition="0">
        <references count="4">
          <reference field="4294967294" count="1" selected="0">
            <x v="0"/>
          </reference>
          <reference field="2" count="1" selected="0">
            <x v="11"/>
          </reference>
          <reference field="9" count="1" selected="0">
            <x v="4"/>
          </reference>
          <reference field="10" count="1" selected="0">
            <x v="2"/>
          </reference>
        </references>
      </pivotArea>
    </chartFormat>
    <chartFormat chart="2" format="448">
      <pivotArea type="data" outline="0" fieldPosition="0">
        <references count="4">
          <reference field="4294967294" count="1" selected="0">
            <x v="0"/>
          </reference>
          <reference field="2" count="1" selected="0">
            <x v="12"/>
          </reference>
          <reference field="9" count="1" selected="0">
            <x v="4"/>
          </reference>
          <reference field="10" count="1" selected="0">
            <x v="2"/>
          </reference>
        </references>
      </pivotArea>
    </chartFormat>
    <chartFormat chart="2" format="449" series="1">
      <pivotArea type="data" outline="0" fieldPosition="0">
        <references count="3">
          <reference field="4294967294" count="1" selected="0">
            <x v="0"/>
          </reference>
          <reference field="9" count="1" selected="0">
            <x v="5"/>
          </reference>
          <reference field="10" count="1" selected="0">
            <x v="2"/>
          </reference>
        </references>
      </pivotArea>
    </chartFormat>
    <chartFormat chart="2" format="450">
      <pivotArea type="data" outline="0" fieldPosition="0">
        <references count="4">
          <reference field="4294967294" count="1" selected="0">
            <x v="0"/>
          </reference>
          <reference field="2" count="1" selected="0">
            <x v="0"/>
          </reference>
          <reference field="9" count="1" selected="0">
            <x v="5"/>
          </reference>
          <reference field="10" count="1" selected="0">
            <x v="2"/>
          </reference>
        </references>
      </pivotArea>
    </chartFormat>
    <chartFormat chart="2" format="451">
      <pivotArea type="data" outline="0" fieldPosition="0">
        <references count="4">
          <reference field="4294967294" count="1" selected="0">
            <x v="0"/>
          </reference>
          <reference field="2" count="1" selected="0">
            <x v="1"/>
          </reference>
          <reference field="9" count="1" selected="0">
            <x v="5"/>
          </reference>
          <reference field="10" count="1" selected="0">
            <x v="2"/>
          </reference>
        </references>
      </pivotArea>
    </chartFormat>
    <chartFormat chart="2" format="452">
      <pivotArea type="data" outline="0" fieldPosition="0">
        <references count="4">
          <reference field="4294967294" count="1" selected="0">
            <x v="0"/>
          </reference>
          <reference field="2" count="1" selected="0">
            <x v="2"/>
          </reference>
          <reference field="9" count="1" selected="0">
            <x v="5"/>
          </reference>
          <reference field="10" count="1" selected="0">
            <x v="2"/>
          </reference>
        </references>
      </pivotArea>
    </chartFormat>
    <chartFormat chart="2" format="453">
      <pivotArea type="data" outline="0" fieldPosition="0">
        <references count="4">
          <reference field="4294967294" count="1" selected="0">
            <x v="0"/>
          </reference>
          <reference field="2" count="1" selected="0">
            <x v="3"/>
          </reference>
          <reference field="9" count="1" selected="0">
            <x v="5"/>
          </reference>
          <reference field="10" count="1" selected="0">
            <x v="2"/>
          </reference>
        </references>
      </pivotArea>
    </chartFormat>
    <chartFormat chart="2" format="454">
      <pivotArea type="data" outline="0" fieldPosition="0">
        <references count="4">
          <reference field="4294967294" count="1" selected="0">
            <x v="0"/>
          </reference>
          <reference field="2" count="1" selected="0">
            <x v="4"/>
          </reference>
          <reference field="9" count="1" selected="0">
            <x v="5"/>
          </reference>
          <reference field="10" count="1" selected="0">
            <x v="2"/>
          </reference>
        </references>
      </pivotArea>
    </chartFormat>
    <chartFormat chart="2" format="455">
      <pivotArea type="data" outline="0" fieldPosition="0">
        <references count="4">
          <reference field="4294967294" count="1" selected="0">
            <x v="0"/>
          </reference>
          <reference field="2" count="1" selected="0">
            <x v="5"/>
          </reference>
          <reference field="9" count="1" selected="0">
            <x v="5"/>
          </reference>
          <reference field="10" count="1" selected="0">
            <x v="2"/>
          </reference>
        </references>
      </pivotArea>
    </chartFormat>
    <chartFormat chart="2" format="456">
      <pivotArea type="data" outline="0" fieldPosition="0">
        <references count="4">
          <reference field="4294967294" count="1" selected="0">
            <x v="0"/>
          </reference>
          <reference field="2" count="1" selected="0">
            <x v="6"/>
          </reference>
          <reference field="9" count="1" selected="0">
            <x v="5"/>
          </reference>
          <reference field="10" count="1" selected="0">
            <x v="2"/>
          </reference>
        </references>
      </pivotArea>
    </chartFormat>
    <chartFormat chart="2" format="457">
      <pivotArea type="data" outline="0" fieldPosition="0">
        <references count="4">
          <reference field="4294967294" count="1" selected="0">
            <x v="0"/>
          </reference>
          <reference field="2" count="1" selected="0">
            <x v="7"/>
          </reference>
          <reference field="9" count="1" selected="0">
            <x v="5"/>
          </reference>
          <reference field="10" count="1" selected="0">
            <x v="2"/>
          </reference>
        </references>
      </pivotArea>
    </chartFormat>
    <chartFormat chart="2" format="458">
      <pivotArea type="data" outline="0" fieldPosition="0">
        <references count="4">
          <reference field="4294967294" count="1" selected="0">
            <x v="0"/>
          </reference>
          <reference field="2" count="1" selected="0">
            <x v="8"/>
          </reference>
          <reference field="9" count="1" selected="0">
            <x v="5"/>
          </reference>
          <reference field="10" count="1" selected="0">
            <x v="2"/>
          </reference>
        </references>
      </pivotArea>
    </chartFormat>
    <chartFormat chart="2" format="459">
      <pivotArea type="data" outline="0" fieldPosition="0">
        <references count="4">
          <reference field="4294967294" count="1" selected="0">
            <x v="0"/>
          </reference>
          <reference field="2" count="1" selected="0">
            <x v="9"/>
          </reference>
          <reference field="9" count="1" selected="0">
            <x v="5"/>
          </reference>
          <reference field="10" count="1" selected="0">
            <x v="2"/>
          </reference>
        </references>
      </pivotArea>
    </chartFormat>
    <chartFormat chart="2" format="460">
      <pivotArea type="data" outline="0" fieldPosition="0">
        <references count="4">
          <reference field="4294967294" count="1" selected="0">
            <x v="0"/>
          </reference>
          <reference field="2" count="1" selected="0">
            <x v="10"/>
          </reference>
          <reference field="9" count="1" selected="0">
            <x v="5"/>
          </reference>
          <reference field="10" count="1" selected="0">
            <x v="2"/>
          </reference>
        </references>
      </pivotArea>
    </chartFormat>
    <chartFormat chart="2" format="461">
      <pivotArea type="data" outline="0" fieldPosition="0">
        <references count="4">
          <reference field="4294967294" count="1" selected="0">
            <x v="0"/>
          </reference>
          <reference field="2" count="1" selected="0">
            <x v="11"/>
          </reference>
          <reference field="9" count="1" selected="0">
            <x v="5"/>
          </reference>
          <reference field="10" count="1" selected="0">
            <x v="2"/>
          </reference>
        </references>
      </pivotArea>
    </chartFormat>
    <chartFormat chart="2" format="462">
      <pivotArea type="data" outline="0" fieldPosition="0">
        <references count="4">
          <reference field="4294967294" count="1" selected="0">
            <x v="0"/>
          </reference>
          <reference field="2" count="1" selected="0">
            <x v="12"/>
          </reference>
          <reference field="9" count="1" selected="0">
            <x v="5"/>
          </reference>
          <reference field="10" count="1" selected="0">
            <x v="2"/>
          </reference>
        </references>
      </pivotArea>
    </chartFormat>
    <chartFormat chart="2" format="463" series="1">
      <pivotArea type="data" outline="0" fieldPosition="0">
        <references count="3">
          <reference field="4294967294" count="1" selected="0">
            <x v="0"/>
          </reference>
          <reference field="9" count="1" selected="0">
            <x v="6"/>
          </reference>
          <reference field="10" count="1" selected="0">
            <x v="2"/>
          </reference>
        </references>
      </pivotArea>
    </chartFormat>
    <chartFormat chart="2" format="464">
      <pivotArea type="data" outline="0" fieldPosition="0">
        <references count="4">
          <reference field="4294967294" count="1" selected="0">
            <x v="0"/>
          </reference>
          <reference field="2" count="1" selected="0">
            <x v="0"/>
          </reference>
          <reference field="9" count="1" selected="0">
            <x v="6"/>
          </reference>
          <reference field="10" count="1" selected="0">
            <x v="2"/>
          </reference>
        </references>
      </pivotArea>
    </chartFormat>
    <chartFormat chart="2" format="465">
      <pivotArea type="data" outline="0" fieldPosition="0">
        <references count="4">
          <reference field="4294967294" count="1" selected="0">
            <x v="0"/>
          </reference>
          <reference field="2" count="1" selected="0">
            <x v="1"/>
          </reference>
          <reference field="9" count="1" selected="0">
            <x v="6"/>
          </reference>
          <reference field="10" count="1" selected="0">
            <x v="2"/>
          </reference>
        </references>
      </pivotArea>
    </chartFormat>
    <chartFormat chart="2" format="466">
      <pivotArea type="data" outline="0" fieldPosition="0">
        <references count="4">
          <reference field="4294967294" count="1" selected="0">
            <x v="0"/>
          </reference>
          <reference field="2" count="1" selected="0">
            <x v="2"/>
          </reference>
          <reference field="9" count="1" selected="0">
            <x v="6"/>
          </reference>
          <reference field="10" count="1" selected="0">
            <x v="2"/>
          </reference>
        </references>
      </pivotArea>
    </chartFormat>
    <chartFormat chart="2" format="467">
      <pivotArea type="data" outline="0" fieldPosition="0">
        <references count="4">
          <reference field="4294967294" count="1" selected="0">
            <x v="0"/>
          </reference>
          <reference field="2" count="1" selected="0">
            <x v="3"/>
          </reference>
          <reference field="9" count="1" selected="0">
            <x v="6"/>
          </reference>
          <reference field="10" count="1" selected="0">
            <x v="2"/>
          </reference>
        </references>
      </pivotArea>
    </chartFormat>
    <chartFormat chart="2" format="468">
      <pivotArea type="data" outline="0" fieldPosition="0">
        <references count="4">
          <reference field="4294967294" count="1" selected="0">
            <x v="0"/>
          </reference>
          <reference field="2" count="1" selected="0">
            <x v="4"/>
          </reference>
          <reference field="9" count="1" selected="0">
            <x v="6"/>
          </reference>
          <reference field="10" count="1" selected="0">
            <x v="2"/>
          </reference>
        </references>
      </pivotArea>
    </chartFormat>
    <chartFormat chart="2" format="469">
      <pivotArea type="data" outline="0" fieldPosition="0">
        <references count="4">
          <reference field="4294967294" count="1" selected="0">
            <x v="0"/>
          </reference>
          <reference field="2" count="1" selected="0">
            <x v="5"/>
          </reference>
          <reference field="9" count="1" selected="0">
            <x v="6"/>
          </reference>
          <reference field="10" count="1" selected="0">
            <x v="2"/>
          </reference>
        </references>
      </pivotArea>
    </chartFormat>
    <chartFormat chart="2" format="470">
      <pivotArea type="data" outline="0" fieldPosition="0">
        <references count="4">
          <reference field="4294967294" count="1" selected="0">
            <x v="0"/>
          </reference>
          <reference field="2" count="1" selected="0">
            <x v="6"/>
          </reference>
          <reference field="9" count="1" selected="0">
            <x v="6"/>
          </reference>
          <reference field="10" count="1" selected="0">
            <x v="2"/>
          </reference>
        </references>
      </pivotArea>
    </chartFormat>
    <chartFormat chart="2" format="471">
      <pivotArea type="data" outline="0" fieldPosition="0">
        <references count="4">
          <reference field="4294967294" count="1" selected="0">
            <x v="0"/>
          </reference>
          <reference field="2" count="1" selected="0">
            <x v="7"/>
          </reference>
          <reference field="9" count="1" selected="0">
            <x v="6"/>
          </reference>
          <reference field="10" count="1" selected="0">
            <x v="2"/>
          </reference>
        </references>
      </pivotArea>
    </chartFormat>
    <chartFormat chart="2" format="472">
      <pivotArea type="data" outline="0" fieldPosition="0">
        <references count="4">
          <reference field="4294967294" count="1" selected="0">
            <x v="0"/>
          </reference>
          <reference field="2" count="1" selected="0">
            <x v="8"/>
          </reference>
          <reference field="9" count="1" selected="0">
            <x v="6"/>
          </reference>
          <reference field="10" count="1" selected="0">
            <x v="2"/>
          </reference>
        </references>
      </pivotArea>
    </chartFormat>
    <chartFormat chart="2" format="473">
      <pivotArea type="data" outline="0" fieldPosition="0">
        <references count="4">
          <reference field="4294967294" count="1" selected="0">
            <x v="0"/>
          </reference>
          <reference field="2" count="1" selected="0">
            <x v="9"/>
          </reference>
          <reference field="9" count="1" selected="0">
            <x v="6"/>
          </reference>
          <reference field="10" count="1" selected="0">
            <x v="2"/>
          </reference>
        </references>
      </pivotArea>
    </chartFormat>
    <chartFormat chart="2" format="474">
      <pivotArea type="data" outline="0" fieldPosition="0">
        <references count="4">
          <reference field="4294967294" count="1" selected="0">
            <x v="0"/>
          </reference>
          <reference field="2" count="1" selected="0">
            <x v="10"/>
          </reference>
          <reference field="9" count="1" selected="0">
            <x v="6"/>
          </reference>
          <reference field="10" count="1" selected="0">
            <x v="2"/>
          </reference>
        </references>
      </pivotArea>
    </chartFormat>
    <chartFormat chart="2" format="475">
      <pivotArea type="data" outline="0" fieldPosition="0">
        <references count="4">
          <reference field="4294967294" count="1" selected="0">
            <x v="0"/>
          </reference>
          <reference field="2" count="1" selected="0">
            <x v="11"/>
          </reference>
          <reference field="9" count="1" selected="0">
            <x v="6"/>
          </reference>
          <reference field="10" count="1" selected="0">
            <x v="2"/>
          </reference>
        </references>
      </pivotArea>
    </chartFormat>
    <chartFormat chart="2" format="476">
      <pivotArea type="data" outline="0" fieldPosition="0">
        <references count="4">
          <reference field="4294967294" count="1" selected="0">
            <x v="0"/>
          </reference>
          <reference field="2" count="1" selected="0">
            <x v="12"/>
          </reference>
          <reference field="9" count="1" selected="0">
            <x v="6"/>
          </reference>
          <reference field="10" count="1" selected="0">
            <x v="2"/>
          </reference>
        </references>
      </pivotArea>
    </chartFormat>
    <chartFormat chart="2" format="477" series="1">
      <pivotArea type="data" outline="0" fieldPosition="0">
        <references count="3">
          <reference field="4294967294" count="1" selected="0">
            <x v="0"/>
          </reference>
          <reference field="9" count="1" selected="0">
            <x v="7"/>
          </reference>
          <reference field="10" count="1" selected="0">
            <x v="2"/>
          </reference>
        </references>
      </pivotArea>
    </chartFormat>
    <chartFormat chart="2" format="478">
      <pivotArea type="data" outline="0" fieldPosition="0">
        <references count="4">
          <reference field="4294967294" count="1" selected="0">
            <x v="0"/>
          </reference>
          <reference field="2" count="1" selected="0">
            <x v="0"/>
          </reference>
          <reference field="9" count="1" selected="0">
            <x v="7"/>
          </reference>
          <reference field="10" count="1" selected="0">
            <x v="2"/>
          </reference>
        </references>
      </pivotArea>
    </chartFormat>
    <chartFormat chart="2" format="479">
      <pivotArea type="data" outline="0" fieldPosition="0">
        <references count="4">
          <reference field="4294967294" count="1" selected="0">
            <x v="0"/>
          </reference>
          <reference field="2" count="1" selected="0">
            <x v="1"/>
          </reference>
          <reference field="9" count="1" selected="0">
            <x v="7"/>
          </reference>
          <reference field="10" count="1" selected="0">
            <x v="2"/>
          </reference>
        </references>
      </pivotArea>
    </chartFormat>
    <chartFormat chart="2" format="480">
      <pivotArea type="data" outline="0" fieldPosition="0">
        <references count="4">
          <reference field="4294967294" count="1" selected="0">
            <x v="0"/>
          </reference>
          <reference field="2" count="1" selected="0">
            <x v="2"/>
          </reference>
          <reference field="9" count="1" selected="0">
            <x v="7"/>
          </reference>
          <reference field="10" count="1" selected="0">
            <x v="2"/>
          </reference>
        </references>
      </pivotArea>
    </chartFormat>
    <chartFormat chart="2" format="481">
      <pivotArea type="data" outline="0" fieldPosition="0">
        <references count="4">
          <reference field="4294967294" count="1" selected="0">
            <x v="0"/>
          </reference>
          <reference field="2" count="1" selected="0">
            <x v="3"/>
          </reference>
          <reference field="9" count="1" selected="0">
            <x v="7"/>
          </reference>
          <reference field="10" count="1" selected="0">
            <x v="2"/>
          </reference>
        </references>
      </pivotArea>
    </chartFormat>
    <chartFormat chart="2" format="482">
      <pivotArea type="data" outline="0" fieldPosition="0">
        <references count="4">
          <reference field="4294967294" count="1" selected="0">
            <x v="0"/>
          </reference>
          <reference field="2" count="1" selected="0">
            <x v="4"/>
          </reference>
          <reference field="9" count="1" selected="0">
            <x v="7"/>
          </reference>
          <reference field="10" count="1" selected="0">
            <x v="2"/>
          </reference>
        </references>
      </pivotArea>
    </chartFormat>
    <chartFormat chart="2" format="483">
      <pivotArea type="data" outline="0" fieldPosition="0">
        <references count="4">
          <reference field="4294967294" count="1" selected="0">
            <x v="0"/>
          </reference>
          <reference field="2" count="1" selected="0">
            <x v="5"/>
          </reference>
          <reference field="9" count="1" selected="0">
            <x v="7"/>
          </reference>
          <reference field="10" count="1" selected="0">
            <x v="2"/>
          </reference>
        </references>
      </pivotArea>
    </chartFormat>
    <chartFormat chart="2" format="484">
      <pivotArea type="data" outline="0" fieldPosition="0">
        <references count="4">
          <reference field="4294967294" count="1" selected="0">
            <x v="0"/>
          </reference>
          <reference field="2" count="1" selected="0">
            <x v="6"/>
          </reference>
          <reference field="9" count="1" selected="0">
            <x v="7"/>
          </reference>
          <reference field="10" count="1" selected="0">
            <x v="2"/>
          </reference>
        </references>
      </pivotArea>
    </chartFormat>
    <chartFormat chart="2" format="485">
      <pivotArea type="data" outline="0" fieldPosition="0">
        <references count="4">
          <reference field="4294967294" count="1" selected="0">
            <x v="0"/>
          </reference>
          <reference field="2" count="1" selected="0">
            <x v="7"/>
          </reference>
          <reference field="9" count="1" selected="0">
            <x v="7"/>
          </reference>
          <reference field="10" count="1" selected="0">
            <x v="2"/>
          </reference>
        </references>
      </pivotArea>
    </chartFormat>
    <chartFormat chart="2" format="486">
      <pivotArea type="data" outline="0" fieldPosition="0">
        <references count="4">
          <reference field="4294967294" count="1" selected="0">
            <x v="0"/>
          </reference>
          <reference field="2" count="1" selected="0">
            <x v="8"/>
          </reference>
          <reference field="9" count="1" selected="0">
            <x v="7"/>
          </reference>
          <reference field="10" count="1" selected="0">
            <x v="2"/>
          </reference>
        </references>
      </pivotArea>
    </chartFormat>
    <chartFormat chart="2" format="487">
      <pivotArea type="data" outline="0" fieldPosition="0">
        <references count="4">
          <reference field="4294967294" count="1" selected="0">
            <x v="0"/>
          </reference>
          <reference field="2" count="1" selected="0">
            <x v="9"/>
          </reference>
          <reference field="9" count="1" selected="0">
            <x v="7"/>
          </reference>
          <reference field="10" count="1" selected="0">
            <x v="2"/>
          </reference>
        </references>
      </pivotArea>
    </chartFormat>
    <chartFormat chart="2" format="488">
      <pivotArea type="data" outline="0" fieldPosition="0">
        <references count="4">
          <reference field="4294967294" count="1" selected="0">
            <x v="0"/>
          </reference>
          <reference field="2" count="1" selected="0">
            <x v="10"/>
          </reference>
          <reference field="9" count="1" selected="0">
            <x v="7"/>
          </reference>
          <reference field="10" count="1" selected="0">
            <x v="2"/>
          </reference>
        </references>
      </pivotArea>
    </chartFormat>
    <chartFormat chart="2" format="489">
      <pivotArea type="data" outline="0" fieldPosition="0">
        <references count="4">
          <reference field="4294967294" count="1" selected="0">
            <x v="0"/>
          </reference>
          <reference field="2" count="1" selected="0">
            <x v="11"/>
          </reference>
          <reference field="9" count="1" selected="0">
            <x v="7"/>
          </reference>
          <reference field="10" count="1" selected="0">
            <x v="2"/>
          </reference>
        </references>
      </pivotArea>
    </chartFormat>
    <chartFormat chart="2" format="490">
      <pivotArea type="data" outline="0" fieldPosition="0">
        <references count="4">
          <reference field="4294967294" count="1" selected="0">
            <x v="0"/>
          </reference>
          <reference field="2" count="1" selected="0">
            <x v="12"/>
          </reference>
          <reference field="9" count="1" selected="0">
            <x v="7"/>
          </reference>
          <reference field="10" count="1" selected="0">
            <x v="2"/>
          </reference>
        </references>
      </pivotArea>
    </chartFormat>
    <chartFormat chart="2" format="491">
      <pivotArea type="data" outline="0" fieldPosition="0">
        <references count="4">
          <reference field="4294967294" count="1" selected="0">
            <x v="0"/>
          </reference>
          <reference field="2" count="1" selected="0">
            <x v="13"/>
          </reference>
          <reference field="9" count="1" selected="0">
            <x v="0"/>
          </reference>
          <reference field="10" count="1" selected="0">
            <x v="0"/>
          </reference>
        </references>
      </pivotArea>
    </chartFormat>
    <chartFormat chart="2" format="492">
      <pivotArea type="data" outline="0" fieldPosition="0">
        <references count="4">
          <reference field="4294967294" count="1" selected="0">
            <x v="0"/>
          </reference>
          <reference field="2" count="1" selected="0">
            <x v="14"/>
          </reference>
          <reference field="9" count="1" selected="0">
            <x v="0"/>
          </reference>
          <reference field="10" count="1" selected="0">
            <x v="0"/>
          </reference>
        </references>
      </pivotArea>
    </chartFormat>
    <chartFormat chart="2" format="493">
      <pivotArea type="data" outline="0" fieldPosition="0">
        <references count="4">
          <reference field="4294967294" count="1" selected="0">
            <x v="0"/>
          </reference>
          <reference field="2" count="1" selected="0">
            <x v="15"/>
          </reference>
          <reference field="9" count="1" selected="0">
            <x v="0"/>
          </reference>
          <reference field="10" count="1" selected="0">
            <x v="0"/>
          </reference>
        </references>
      </pivotArea>
    </chartFormat>
    <chartFormat chart="2" format="494">
      <pivotArea type="data" outline="0" fieldPosition="0">
        <references count="4">
          <reference field="4294967294" count="1" selected="0">
            <x v="0"/>
          </reference>
          <reference field="2" count="1" selected="0">
            <x v="16"/>
          </reference>
          <reference field="9" count="1" selected="0">
            <x v="0"/>
          </reference>
          <reference field="10" count="1" selected="0">
            <x v="0"/>
          </reference>
        </references>
      </pivotArea>
    </chartFormat>
    <chartFormat chart="2" format="495">
      <pivotArea type="data" outline="0" fieldPosition="0">
        <references count="4">
          <reference field="4294967294" count="1" selected="0">
            <x v="0"/>
          </reference>
          <reference field="2" count="1" selected="0">
            <x v="17"/>
          </reference>
          <reference field="9" count="1" selected="0">
            <x v="0"/>
          </reference>
          <reference field="10" count="1" selected="0">
            <x v="0"/>
          </reference>
        </references>
      </pivotArea>
    </chartFormat>
    <chartFormat chart="2" format="496">
      <pivotArea type="data" outline="0" fieldPosition="0">
        <references count="4">
          <reference field="4294967294" count="1" selected="0">
            <x v="0"/>
          </reference>
          <reference field="2" count="1" selected="0">
            <x v="13"/>
          </reference>
          <reference field="9" count="1" selected="0">
            <x v="1"/>
          </reference>
          <reference field="10" count="1" selected="0">
            <x v="0"/>
          </reference>
        </references>
      </pivotArea>
    </chartFormat>
    <chartFormat chart="2" format="497">
      <pivotArea type="data" outline="0" fieldPosition="0">
        <references count="4">
          <reference field="4294967294" count="1" selected="0">
            <x v="0"/>
          </reference>
          <reference field="2" count="1" selected="0">
            <x v="14"/>
          </reference>
          <reference field="9" count="1" selected="0">
            <x v="1"/>
          </reference>
          <reference field="10" count="1" selected="0">
            <x v="0"/>
          </reference>
        </references>
      </pivotArea>
    </chartFormat>
    <chartFormat chart="2" format="498">
      <pivotArea type="data" outline="0" fieldPosition="0">
        <references count="4">
          <reference field="4294967294" count="1" selected="0">
            <x v="0"/>
          </reference>
          <reference field="2" count="1" selected="0">
            <x v="15"/>
          </reference>
          <reference field="9" count="1" selected="0">
            <x v="1"/>
          </reference>
          <reference field="10" count="1" selected="0">
            <x v="0"/>
          </reference>
        </references>
      </pivotArea>
    </chartFormat>
    <chartFormat chart="2" format="499">
      <pivotArea type="data" outline="0" fieldPosition="0">
        <references count="4">
          <reference field="4294967294" count="1" selected="0">
            <x v="0"/>
          </reference>
          <reference field="2" count="1" selected="0">
            <x v="16"/>
          </reference>
          <reference field="9" count="1" selected="0">
            <x v="1"/>
          </reference>
          <reference field="10" count="1" selected="0">
            <x v="0"/>
          </reference>
        </references>
      </pivotArea>
    </chartFormat>
    <chartFormat chart="2" format="500">
      <pivotArea type="data" outline="0" fieldPosition="0">
        <references count="4">
          <reference field="4294967294" count="1" selected="0">
            <x v="0"/>
          </reference>
          <reference field="2" count="1" selected="0">
            <x v="17"/>
          </reference>
          <reference field="9" count="1" selected="0">
            <x v="1"/>
          </reference>
          <reference field="10" count="1" selected="0">
            <x v="0"/>
          </reference>
        </references>
      </pivotArea>
    </chartFormat>
    <chartFormat chart="2" format="501">
      <pivotArea type="data" outline="0" fieldPosition="0">
        <references count="4">
          <reference field="4294967294" count="1" selected="0">
            <x v="0"/>
          </reference>
          <reference field="2" count="1" selected="0">
            <x v="13"/>
          </reference>
          <reference field="9" count="1" selected="0">
            <x v="2"/>
          </reference>
          <reference field="10" count="1" selected="0">
            <x v="0"/>
          </reference>
        </references>
      </pivotArea>
    </chartFormat>
    <chartFormat chart="2" format="502">
      <pivotArea type="data" outline="0" fieldPosition="0">
        <references count="4">
          <reference field="4294967294" count="1" selected="0">
            <x v="0"/>
          </reference>
          <reference field="2" count="1" selected="0">
            <x v="14"/>
          </reference>
          <reference field="9" count="1" selected="0">
            <x v="2"/>
          </reference>
          <reference field="10" count="1" selected="0">
            <x v="0"/>
          </reference>
        </references>
      </pivotArea>
    </chartFormat>
    <chartFormat chart="2" format="503">
      <pivotArea type="data" outline="0" fieldPosition="0">
        <references count="4">
          <reference field="4294967294" count="1" selected="0">
            <x v="0"/>
          </reference>
          <reference field="2" count="1" selected="0">
            <x v="15"/>
          </reference>
          <reference field="9" count="1" selected="0">
            <x v="2"/>
          </reference>
          <reference field="10" count="1" selected="0">
            <x v="0"/>
          </reference>
        </references>
      </pivotArea>
    </chartFormat>
    <chartFormat chart="2" format="504">
      <pivotArea type="data" outline="0" fieldPosition="0">
        <references count="4">
          <reference field="4294967294" count="1" selected="0">
            <x v="0"/>
          </reference>
          <reference field="2" count="1" selected="0">
            <x v="16"/>
          </reference>
          <reference field="9" count="1" selected="0">
            <x v="2"/>
          </reference>
          <reference field="10" count="1" selected="0">
            <x v="0"/>
          </reference>
        </references>
      </pivotArea>
    </chartFormat>
    <chartFormat chart="2" format="505">
      <pivotArea type="data" outline="0" fieldPosition="0">
        <references count="4">
          <reference field="4294967294" count="1" selected="0">
            <x v="0"/>
          </reference>
          <reference field="2" count="1" selected="0">
            <x v="17"/>
          </reference>
          <reference field="9" count="1" selected="0">
            <x v="2"/>
          </reference>
          <reference field="10" count="1" selected="0">
            <x v="0"/>
          </reference>
        </references>
      </pivotArea>
    </chartFormat>
    <chartFormat chart="2" format="506">
      <pivotArea type="data" outline="0" fieldPosition="0">
        <references count="4">
          <reference field="4294967294" count="1" selected="0">
            <x v="0"/>
          </reference>
          <reference field="2" count="1" selected="0">
            <x v="13"/>
          </reference>
          <reference field="9" count="1" selected="0">
            <x v="3"/>
          </reference>
          <reference field="10" count="1" selected="0">
            <x v="0"/>
          </reference>
        </references>
      </pivotArea>
    </chartFormat>
    <chartFormat chart="2" format="507">
      <pivotArea type="data" outline="0" fieldPosition="0">
        <references count="4">
          <reference field="4294967294" count="1" selected="0">
            <x v="0"/>
          </reference>
          <reference field="2" count="1" selected="0">
            <x v="14"/>
          </reference>
          <reference field="9" count="1" selected="0">
            <x v="3"/>
          </reference>
          <reference field="10" count="1" selected="0">
            <x v="0"/>
          </reference>
        </references>
      </pivotArea>
    </chartFormat>
    <chartFormat chart="2" format="508">
      <pivotArea type="data" outline="0" fieldPosition="0">
        <references count="4">
          <reference field="4294967294" count="1" selected="0">
            <x v="0"/>
          </reference>
          <reference field="2" count="1" selected="0">
            <x v="15"/>
          </reference>
          <reference field="9" count="1" selected="0">
            <x v="3"/>
          </reference>
          <reference field="10" count="1" selected="0">
            <x v="0"/>
          </reference>
        </references>
      </pivotArea>
    </chartFormat>
    <chartFormat chart="2" format="509">
      <pivotArea type="data" outline="0" fieldPosition="0">
        <references count="4">
          <reference field="4294967294" count="1" selected="0">
            <x v="0"/>
          </reference>
          <reference field="2" count="1" selected="0">
            <x v="16"/>
          </reference>
          <reference field="9" count="1" selected="0">
            <x v="3"/>
          </reference>
          <reference field="10" count="1" selected="0">
            <x v="0"/>
          </reference>
        </references>
      </pivotArea>
    </chartFormat>
    <chartFormat chart="2" format="510">
      <pivotArea type="data" outline="0" fieldPosition="0">
        <references count="4">
          <reference field="4294967294" count="1" selected="0">
            <x v="0"/>
          </reference>
          <reference field="2" count="1" selected="0">
            <x v="17"/>
          </reference>
          <reference field="9" count="1" selected="0">
            <x v="3"/>
          </reference>
          <reference field="10" count="1" selected="0">
            <x v="0"/>
          </reference>
        </references>
      </pivotArea>
    </chartFormat>
    <chartFormat chart="2" format="511">
      <pivotArea type="data" outline="0" fieldPosition="0">
        <references count="4">
          <reference field="4294967294" count="1" selected="0">
            <x v="0"/>
          </reference>
          <reference field="2" count="1" selected="0">
            <x v="13"/>
          </reference>
          <reference field="9" count="1" selected="0">
            <x v="4"/>
          </reference>
          <reference field="10" count="1" selected="0">
            <x v="0"/>
          </reference>
        </references>
      </pivotArea>
    </chartFormat>
    <chartFormat chart="2" format="512">
      <pivotArea type="data" outline="0" fieldPosition="0">
        <references count="4">
          <reference field="4294967294" count="1" selected="0">
            <x v="0"/>
          </reference>
          <reference field="2" count="1" selected="0">
            <x v="14"/>
          </reference>
          <reference field="9" count="1" selected="0">
            <x v="4"/>
          </reference>
          <reference field="10" count="1" selected="0">
            <x v="0"/>
          </reference>
        </references>
      </pivotArea>
    </chartFormat>
    <chartFormat chart="2" format="513">
      <pivotArea type="data" outline="0" fieldPosition="0">
        <references count="4">
          <reference field="4294967294" count="1" selected="0">
            <x v="0"/>
          </reference>
          <reference field="2" count="1" selected="0">
            <x v="15"/>
          </reference>
          <reference field="9" count="1" selected="0">
            <x v="4"/>
          </reference>
          <reference field="10" count="1" selected="0">
            <x v="0"/>
          </reference>
        </references>
      </pivotArea>
    </chartFormat>
    <chartFormat chart="2" format="514">
      <pivotArea type="data" outline="0" fieldPosition="0">
        <references count="4">
          <reference field="4294967294" count="1" selected="0">
            <x v="0"/>
          </reference>
          <reference field="2" count="1" selected="0">
            <x v="16"/>
          </reference>
          <reference field="9" count="1" selected="0">
            <x v="4"/>
          </reference>
          <reference field="10" count="1" selected="0">
            <x v="0"/>
          </reference>
        </references>
      </pivotArea>
    </chartFormat>
    <chartFormat chart="2" format="515">
      <pivotArea type="data" outline="0" fieldPosition="0">
        <references count="4">
          <reference field="4294967294" count="1" selected="0">
            <x v="0"/>
          </reference>
          <reference field="2" count="1" selected="0">
            <x v="17"/>
          </reference>
          <reference field="9" count="1" selected="0">
            <x v="4"/>
          </reference>
          <reference field="10" count="1" selected="0">
            <x v="0"/>
          </reference>
        </references>
      </pivotArea>
    </chartFormat>
    <chartFormat chart="2" format="516">
      <pivotArea type="data" outline="0" fieldPosition="0">
        <references count="4">
          <reference field="4294967294" count="1" selected="0">
            <x v="0"/>
          </reference>
          <reference field="2" count="1" selected="0">
            <x v="13"/>
          </reference>
          <reference field="9" count="1" selected="0">
            <x v="5"/>
          </reference>
          <reference field="10" count="1" selected="0">
            <x v="0"/>
          </reference>
        </references>
      </pivotArea>
    </chartFormat>
    <chartFormat chart="2" format="517">
      <pivotArea type="data" outline="0" fieldPosition="0">
        <references count="4">
          <reference field="4294967294" count="1" selected="0">
            <x v="0"/>
          </reference>
          <reference field="2" count="1" selected="0">
            <x v="14"/>
          </reference>
          <reference field="9" count="1" selected="0">
            <x v="5"/>
          </reference>
          <reference field="10" count="1" selected="0">
            <x v="0"/>
          </reference>
        </references>
      </pivotArea>
    </chartFormat>
    <chartFormat chart="2" format="518">
      <pivotArea type="data" outline="0" fieldPosition="0">
        <references count="4">
          <reference field="4294967294" count="1" selected="0">
            <x v="0"/>
          </reference>
          <reference field="2" count="1" selected="0">
            <x v="15"/>
          </reference>
          <reference field="9" count="1" selected="0">
            <x v="5"/>
          </reference>
          <reference field="10" count="1" selected="0">
            <x v="0"/>
          </reference>
        </references>
      </pivotArea>
    </chartFormat>
    <chartFormat chart="2" format="519">
      <pivotArea type="data" outline="0" fieldPosition="0">
        <references count="4">
          <reference field="4294967294" count="1" selected="0">
            <x v="0"/>
          </reference>
          <reference field="2" count="1" selected="0">
            <x v="16"/>
          </reference>
          <reference field="9" count="1" selected="0">
            <x v="5"/>
          </reference>
          <reference field="10" count="1" selected="0">
            <x v="0"/>
          </reference>
        </references>
      </pivotArea>
    </chartFormat>
    <chartFormat chart="2" format="520">
      <pivotArea type="data" outline="0" fieldPosition="0">
        <references count="4">
          <reference field="4294967294" count="1" selected="0">
            <x v="0"/>
          </reference>
          <reference field="2" count="1" selected="0">
            <x v="17"/>
          </reference>
          <reference field="9" count="1" selected="0">
            <x v="5"/>
          </reference>
          <reference field="10" count="1" selected="0">
            <x v="0"/>
          </reference>
        </references>
      </pivotArea>
    </chartFormat>
    <chartFormat chart="2" format="521">
      <pivotArea type="data" outline="0" fieldPosition="0">
        <references count="4">
          <reference field="4294967294" count="1" selected="0">
            <x v="0"/>
          </reference>
          <reference field="2" count="1" selected="0">
            <x v="13"/>
          </reference>
          <reference field="9" count="1" selected="0">
            <x v="6"/>
          </reference>
          <reference field="10" count="1" selected="0">
            <x v="0"/>
          </reference>
        </references>
      </pivotArea>
    </chartFormat>
    <chartFormat chart="2" format="522">
      <pivotArea type="data" outline="0" fieldPosition="0">
        <references count="4">
          <reference field="4294967294" count="1" selected="0">
            <x v="0"/>
          </reference>
          <reference field="2" count="1" selected="0">
            <x v="14"/>
          </reference>
          <reference field="9" count="1" selected="0">
            <x v="6"/>
          </reference>
          <reference field="10" count="1" selected="0">
            <x v="0"/>
          </reference>
        </references>
      </pivotArea>
    </chartFormat>
    <chartFormat chart="2" format="523">
      <pivotArea type="data" outline="0" fieldPosition="0">
        <references count="4">
          <reference field="4294967294" count="1" selected="0">
            <x v="0"/>
          </reference>
          <reference field="2" count="1" selected="0">
            <x v="15"/>
          </reference>
          <reference field="9" count="1" selected="0">
            <x v="6"/>
          </reference>
          <reference field="10" count="1" selected="0">
            <x v="0"/>
          </reference>
        </references>
      </pivotArea>
    </chartFormat>
    <chartFormat chart="2" format="524">
      <pivotArea type="data" outline="0" fieldPosition="0">
        <references count="4">
          <reference field="4294967294" count="1" selected="0">
            <x v="0"/>
          </reference>
          <reference field="2" count="1" selected="0">
            <x v="16"/>
          </reference>
          <reference field="9" count="1" selected="0">
            <x v="6"/>
          </reference>
          <reference field="10" count="1" selected="0">
            <x v="0"/>
          </reference>
        </references>
      </pivotArea>
    </chartFormat>
    <chartFormat chart="2" format="525">
      <pivotArea type="data" outline="0" fieldPosition="0">
        <references count="4">
          <reference field="4294967294" count="1" selected="0">
            <x v="0"/>
          </reference>
          <reference field="2" count="1" selected="0">
            <x v="17"/>
          </reference>
          <reference field="9" count="1" selected="0">
            <x v="6"/>
          </reference>
          <reference field="10" count="1" selected="0">
            <x v="0"/>
          </reference>
        </references>
      </pivotArea>
    </chartFormat>
    <chartFormat chart="2" format="526">
      <pivotArea type="data" outline="0" fieldPosition="0">
        <references count="4">
          <reference field="4294967294" count="1" selected="0">
            <x v="0"/>
          </reference>
          <reference field="2" count="1" selected="0">
            <x v="13"/>
          </reference>
          <reference field="9" count="1" selected="0">
            <x v="7"/>
          </reference>
          <reference field="10" count="1" selected="0">
            <x v="0"/>
          </reference>
        </references>
      </pivotArea>
    </chartFormat>
    <chartFormat chart="2" format="527">
      <pivotArea type="data" outline="0" fieldPosition="0">
        <references count="4">
          <reference field="4294967294" count="1" selected="0">
            <x v="0"/>
          </reference>
          <reference field="2" count="1" selected="0">
            <x v="14"/>
          </reference>
          <reference field="9" count="1" selected="0">
            <x v="7"/>
          </reference>
          <reference field="10" count="1" selected="0">
            <x v="0"/>
          </reference>
        </references>
      </pivotArea>
    </chartFormat>
    <chartFormat chart="2" format="528">
      <pivotArea type="data" outline="0" fieldPosition="0">
        <references count="4">
          <reference field="4294967294" count="1" selected="0">
            <x v="0"/>
          </reference>
          <reference field="2" count="1" selected="0">
            <x v="15"/>
          </reference>
          <reference field="9" count="1" selected="0">
            <x v="7"/>
          </reference>
          <reference field="10" count="1" selected="0">
            <x v="0"/>
          </reference>
        </references>
      </pivotArea>
    </chartFormat>
    <chartFormat chart="2" format="529">
      <pivotArea type="data" outline="0" fieldPosition="0">
        <references count="4">
          <reference field="4294967294" count="1" selected="0">
            <x v="0"/>
          </reference>
          <reference field="2" count="1" selected="0">
            <x v="16"/>
          </reference>
          <reference field="9" count="1" selected="0">
            <x v="7"/>
          </reference>
          <reference field="10" count="1" selected="0">
            <x v="0"/>
          </reference>
        </references>
      </pivotArea>
    </chartFormat>
    <chartFormat chart="2" format="530">
      <pivotArea type="data" outline="0" fieldPosition="0">
        <references count="4">
          <reference field="4294967294" count="1" selected="0">
            <x v="0"/>
          </reference>
          <reference field="2" count="1" selected="0">
            <x v="17"/>
          </reference>
          <reference field="9" count="1" selected="0">
            <x v="7"/>
          </reference>
          <reference field="10" count="1" selected="0">
            <x v="0"/>
          </reference>
        </references>
      </pivotArea>
    </chartFormat>
    <chartFormat chart="2" format="531">
      <pivotArea type="data" outline="0" fieldPosition="0">
        <references count="4">
          <reference field="4294967294" count="1" selected="0">
            <x v="0"/>
          </reference>
          <reference field="2" count="1" selected="0">
            <x v="13"/>
          </reference>
          <reference field="9" count="1" selected="0">
            <x v="0"/>
          </reference>
          <reference field="10" count="1" selected="0">
            <x v="1"/>
          </reference>
        </references>
      </pivotArea>
    </chartFormat>
    <chartFormat chart="2" format="532">
      <pivotArea type="data" outline="0" fieldPosition="0">
        <references count="4">
          <reference field="4294967294" count="1" selected="0">
            <x v="0"/>
          </reference>
          <reference field="2" count="1" selected="0">
            <x v="14"/>
          </reference>
          <reference field="9" count="1" selected="0">
            <x v="0"/>
          </reference>
          <reference field="10" count="1" selected="0">
            <x v="1"/>
          </reference>
        </references>
      </pivotArea>
    </chartFormat>
    <chartFormat chart="2" format="533">
      <pivotArea type="data" outline="0" fieldPosition="0">
        <references count="4">
          <reference field="4294967294" count="1" selected="0">
            <x v="0"/>
          </reference>
          <reference field="2" count="1" selected="0">
            <x v="15"/>
          </reference>
          <reference field="9" count="1" selected="0">
            <x v="0"/>
          </reference>
          <reference field="10" count="1" selected="0">
            <x v="1"/>
          </reference>
        </references>
      </pivotArea>
    </chartFormat>
    <chartFormat chart="2" format="534">
      <pivotArea type="data" outline="0" fieldPosition="0">
        <references count="4">
          <reference field="4294967294" count="1" selected="0">
            <x v="0"/>
          </reference>
          <reference field="2" count="1" selected="0">
            <x v="16"/>
          </reference>
          <reference field="9" count="1" selected="0">
            <x v="0"/>
          </reference>
          <reference field="10" count="1" selected="0">
            <x v="1"/>
          </reference>
        </references>
      </pivotArea>
    </chartFormat>
    <chartFormat chart="2" format="535">
      <pivotArea type="data" outline="0" fieldPosition="0">
        <references count="4">
          <reference field="4294967294" count="1" selected="0">
            <x v="0"/>
          </reference>
          <reference field="2" count="1" selected="0">
            <x v="17"/>
          </reference>
          <reference field="9" count="1" selected="0">
            <x v="0"/>
          </reference>
          <reference field="10" count="1" selected="0">
            <x v="1"/>
          </reference>
        </references>
      </pivotArea>
    </chartFormat>
    <chartFormat chart="2" format="536">
      <pivotArea type="data" outline="0" fieldPosition="0">
        <references count="4">
          <reference field="4294967294" count="1" selected="0">
            <x v="0"/>
          </reference>
          <reference field="2" count="1" selected="0">
            <x v="13"/>
          </reference>
          <reference field="9" count="1" selected="0">
            <x v="1"/>
          </reference>
          <reference field="10" count="1" selected="0">
            <x v="1"/>
          </reference>
        </references>
      </pivotArea>
    </chartFormat>
    <chartFormat chart="2" format="537">
      <pivotArea type="data" outline="0" fieldPosition="0">
        <references count="4">
          <reference field="4294967294" count="1" selected="0">
            <x v="0"/>
          </reference>
          <reference field="2" count="1" selected="0">
            <x v="14"/>
          </reference>
          <reference field="9" count="1" selected="0">
            <x v="1"/>
          </reference>
          <reference field="10" count="1" selected="0">
            <x v="1"/>
          </reference>
        </references>
      </pivotArea>
    </chartFormat>
    <chartFormat chart="2" format="538">
      <pivotArea type="data" outline="0" fieldPosition="0">
        <references count="4">
          <reference field="4294967294" count="1" selected="0">
            <x v="0"/>
          </reference>
          <reference field="2" count="1" selected="0">
            <x v="15"/>
          </reference>
          <reference field="9" count="1" selected="0">
            <x v="1"/>
          </reference>
          <reference field="10" count="1" selected="0">
            <x v="1"/>
          </reference>
        </references>
      </pivotArea>
    </chartFormat>
    <chartFormat chart="2" format="539">
      <pivotArea type="data" outline="0" fieldPosition="0">
        <references count="4">
          <reference field="4294967294" count="1" selected="0">
            <x v="0"/>
          </reference>
          <reference field="2" count="1" selected="0">
            <x v="16"/>
          </reference>
          <reference field="9" count="1" selected="0">
            <x v="1"/>
          </reference>
          <reference field="10" count="1" selected="0">
            <x v="1"/>
          </reference>
        </references>
      </pivotArea>
    </chartFormat>
    <chartFormat chart="2" format="540">
      <pivotArea type="data" outline="0" fieldPosition="0">
        <references count="4">
          <reference field="4294967294" count="1" selected="0">
            <x v="0"/>
          </reference>
          <reference field="2" count="1" selected="0">
            <x v="17"/>
          </reference>
          <reference field="9" count="1" selected="0">
            <x v="1"/>
          </reference>
          <reference field="10" count="1" selected="0">
            <x v="1"/>
          </reference>
        </references>
      </pivotArea>
    </chartFormat>
    <chartFormat chart="2" format="541">
      <pivotArea type="data" outline="0" fieldPosition="0">
        <references count="4">
          <reference field="4294967294" count="1" selected="0">
            <x v="0"/>
          </reference>
          <reference field="2" count="1" selected="0">
            <x v="13"/>
          </reference>
          <reference field="9" count="1" selected="0">
            <x v="2"/>
          </reference>
          <reference field="10" count="1" selected="0">
            <x v="1"/>
          </reference>
        </references>
      </pivotArea>
    </chartFormat>
    <chartFormat chart="2" format="542">
      <pivotArea type="data" outline="0" fieldPosition="0">
        <references count="4">
          <reference field="4294967294" count="1" selected="0">
            <x v="0"/>
          </reference>
          <reference field="2" count="1" selected="0">
            <x v="14"/>
          </reference>
          <reference field="9" count="1" selected="0">
            <x v="2"/>
          </reference>
          <reference field="10" count="1" selected="0">
            <x v="1"/>
          </reference>
        </references>
      </pivotArea>
    </chartFormat>
    <chartFormat chart="2" format="543">
      <pivotArea type="data" outline="0" fieldPosition="0">
        <references count="4">
          <reference field="4294967294" count="1" selected="0">
            <x v="0"/>
          </reference>
          <reference field="2" count="1" selected="0">
            <x v="15"/>
          </reference>
          <reference field="9" count="1" selected="0">
            <x v="2"/>
          </reference>
          <reference field="10" count="1" selected="0">
            <x v="1"/>
          </reference>
        </references>
      </pivotArea>
    </chartFormat>
    <chartFormat chart="2" format="544">
      <pivotArea type="data" outline="0" fieldPosition="0">
        <references count="4">
          <reference field="4294967294" count="1" selected="0">
            <x v="0"/>
          </reference>
          <reference field="2" count="1" selected="0">
            <x v="16"/>
          </reference>
          <reference field="9" count="1" selected="0">
            <x v="2"/>
          </reference>
          <reference field="10" count="1" selected="0">
            <x v="1"/>
          </reference>
        </references>
      </pivotArea>
    </chartFormat>
    <chartFormat chart="2" format="545">
      <pivotArea type="data" outline="0" fieldPosition="0">
        <references count="4">
          <reference field="4294967294" count="1" selected="0">
            <x v="0"/>
          </reference>
          <reference field="2" count="1" selected="0">
            <x v="17"/>
          </reference>
          <reference field="9" count="1" selected="0">
            <x v="2"/>
          </reference>
          <reference field="10" count="1" selected="0">
            <x v="1"/>
          </reference>
        </references>
      </pivotArea>
    </chartFormat>
    <chartFormat chart="2" format="546">
      <pivotArea type="data" outline="0" fieldPosition="0">
        <references count="4">
          <reference field="4294967294" count="1" selected="0">
            <x v="0"/>
          </reference>
          <reference field="2" count="1" selected="0">
            <x v="13"/>
          </reference>
          <reference field="9" count="1" selected="0">
            <x v="3"/>
          </reference>
          <reference field="10" count="1" selected="0">
            <x v="1"/>
          </reference>
        </references>
      </pivotArea>
    </chartFormat>
    <chartFormat chart="2" format="547">
      <pivotArea type="data" outline="0" fieldPosition="0">
        <references count="4">
          <reference field="4294967294" count="1" selected="0">
            <x v="0"/>
          </reference>
          <reference field="2" count="1" selected="0">
            <x v="14"/>
          </reference>
          <reference field="9" count="1" selected="0">
            <x v="3"/>
          </reference>
          <reference field="10" count="1" selected="0">
            <x v="1"/>
          </reference>
        </references>
      </pivotArea>
    </chartFormat>
    <chartFormat chart="2" format="548">
      <pivotArea type="data" outline="0" fieldPosition="0">
        <references count="4">
          <reference field="4294967294" count="1" selected="0">
            <x v="0"/>
          </reference>
          <reference field="2" count="1" selected="0">
            <x v="15"/>
          </reference>
          <reference field="9" count="1" selected="0">
            <x v="3"/>
          </reference>
          <reference field="10" count="1" selected="0">
            <x v="1"/>
          </reference>
        </references>
      </pivotArea>
    </chartFormat>
    <chartFormat chart="2" format="549">
      <pivotArea type="data" outline="0" fieldPosition="0">
        <references count="4">
          <reference field="4294967294" count="1" selected="0">
            <x v="0"/>
          </reference>
          <reference field="2" count="1" selected="0">
            <x v="16"/>
          </reference>
          <reference field="9" count="1" selected="0">
            <x v="3"/>
          </reference>
          <reference field="10" count="1" selected="0">
            <x v="1"/>
          </reference>
        </references>
      </pivotArea>
    </chartFormat>
    <chartFormat chart="2" format="550">
      <pivotArea type="data" outline="0" fieldPosition="0">
        <references count="4">
          <reference field="4294967294" count="1" selected="0">
            <x v="0"/>
          </reference>
          <reference field="2" count="1" selected="0">
            <x v="17"/>
          </reference>
          <reference field="9" count="1" selected="0">
            <x v="3"/>
          </reference>
          <reference field="10" count="1" selected="0">
            <x v="1"/>
          </reference>
        </references>
      </pivotArea>
    </chartFormat>
    <chartFormat chart="2" format="551">
      <pivotArea type="data" outline="0" fieldPosition="0">
        <references count="4">
          <reference field="4294967294" count="1" selected="0">
            <x v="0"/>
          </reference>
          <reference field="2" count="1" selected="0">
            <x v="13"/>
          </reference>
          <reference field="9" count="1" selected="0">
            <x v="4"/>
          </reference>
          <reference field="10" count="1" selected="0">
            <x v="1"/>
          </reference>
        </references>
      </pivotArea>
    </chartFormat>
    <chartFormat chart="2" format="552">
      <pivotArea type="data" outline="0" fieldPosition="0">
        <references count="4">
          <reference field="4294967294" count="1" selected="0">
            <x v="0"/>
          </reference>
          <reference field="2" count="1" selected="0">
            <x v="14"/>
          </reference>
          <reference field="9" count="1" selected="0">
            <x v="4"/>
          </reference>
          <reference field="10" count="1" selected="0">
            <x v="1"/>
          </reference>
        </references>
      </pivotArea>
    </chartFormat>
    <chartFormat chart="2" format="553">
      <pivotArea type="data" outline="0" fieldPosition="0">
        <references count="4">
          <reference field="4294967294" count="1" selected="0">
            <x v="0"/>
          </reference>
          <reference field="2" count="1" selected="0">
            <x v="15"/>
          </reference>
          <reference field="9" count="1" selected="0">
            <x v="4"/>
          </reference>
          <reference field="10" count="1" selected="0">
            <x v="1"/>
          </reference>
        </references>
      </pivotArea>
    </chartFormat>
    <chartFormat chart="2" format="554">
      <pivotArea type="data" outline="0" fieldPosition="0">
        <references count="4">
          <reference field="4294967294" count="1" selected="0">
            <x v="0"/>
          </reference>
          <reference field="2" count="1" selected="0">
            <x v="16"/>
          </reference>
          <reference field="9" count="1" selected="0">
            <x v="4"/>
          </reference>
          <reference field="10" count="1" selected="0">
            <x v="1"/>
          </reference>
        </references>
      </pivotArea>
    </chartFormat>
    <chartFormat chart="2" format="555">
      <pivotArea type="data" outline="0" fieldPosition="0">
        <references count="4">
          <reference field="4294967294" count="1" selected="0">
            <x v="0"/>
          </reference>
          <reference field="2" count="1" selected="0">
            <x v="17"/>
          </reference>
          <reference field="9" count="1" selected="0">
            <x v="4"/>
          </reference>
          <reference field="10" count="1" selected="0">
            <x v="1"/>
          </reference>
        </references>
      </pivotArea>
    </chartFormat>
    <chartFormat chart="2" format="556">
      <pivotArea type="data" outline="0" fieldPosition="0">
        <references count="4">
          <reference field="4294967294" count="1" selected="0">
            <x v="0"/>
          </reference>
          <reference field="2" count="1" selected="0">
            <x v="13"/>
          </reference>
          <reference field="9" count="1" selected="0">
            <x v="5"/>
          </reference>
          <reference field="10" count="1" selected="0">
            <x v="1"/>
          </reference>
        </references>
      </pivotArea>
    </chartFormat>
    <chartFormat chart="2" format="557">
      <pivotArea type="data" outline="0" fieldPosition="0">
        <references count="4">
          <reference field="4294967294" count="1" selected="0">
            <x v="0"/>
          </reference>
          <reference field="2" count="1" selected="0">
            <x v="14"/>
          </reference>
          <reference field="9" count="1" selected="0">
            <x v="5"/>
          </reference>
          <reference field="10" count="1" selected="0">
            <x v="1"/>
          </reference>
        </references>
      </pivotArea>
    </chartFormat>
    <chartFormat chart="2" format="558">
      <pivotArea type="data" outline="0" fieldPosition="0">
        <references count="4">
          <reference field="4294967294" count="1" selected="0">
            <x v="0"/>
          </reference>
          <reference field="2" count="1" selected="0">
            <x v="15"/>
          </reference>
          <reference field="9" count="1" selected="0">
            <x v="5"/>
          </reference>
          <reference field="10" count="1" selected="0">
            <x v="1"/>
          </reference>
        </references>
      </pivotArea>
    </chartFormat>
    <chartFormat chart="2" format="559">
      <pivotArea type="data" outline="0" fieldPosition="0">
        <references count="4">
          <reference field="4294967294" count="1" selected="0">
            <x v="0"/>
          </reference>
          <reference field="2" count="1" selected="0">
            <x v="16"/>
          </reference>
          <reference field="9" count="1" selected="0">
            <x v="5"/>
          </reference>
          <reference field="10" count="1" selected="0">
            <x v="1"/>
          </reference>
        </references>
      </pivotArea>
    </chartFormat>
    <chartFormat chart="2" format="560">
      <pivotArea type="data" outline="0" fieldPosition="0">
        <references count="4">
          <reference field="4294967294" count="1" selected="0">
            <x v="0"/>
          </reference>
          <reference field="2" count="1" selected="0">
            <x v="17"/>
          </reference>
          <reference field="9" count="1" selected="0">
            <x v="5"/>
          </reference>
          <reference field="10" count="1" selected="0">
            <x v="1"/>
          </reference>
        </references>
      </pivotArea>
    </chartFormat>
    <chartFormat chart="2" format="561">
      <pivotArea type="data" outline="0" fieldPosition="0">
        <references count="4">
          <reference field="4294967294" count="1" selected="0">
            <x v="0"/>
          </reference>
          <reference field="2" count="1" selected="0">
            <x v="13"/>
          </reference>
          <reference field="9" count="1" selected="0">
            <x v="6"/>
          </reference>
          <reference field="10" count="1" selected="0">
            <x v="1"/>
          </reference>
        </references>
      </pivotArea>
    </chartFormat>
    <chartFormat chart="2" format="562">
      <pivotArea type="data" outline="0" fieldPosition="0">
        <references count="4">
          <reference field="4294967294" count="1" selected="0">
            <x v="0"/>
          </reference>
          <reference field="2" count="1" selected="0">
            <x v="14"/>
          </reference>
          <reference field="9" count="1" selected="0">
            <x v="6"/>
          </reference>
          <reference field="10" count="1" selected="0">
            <x v="1"/>
          </reference>
        </references>
      </pivotArea>
    </chartFormat>
    <chartFormat chart="2" format="563">
      <pivotArea type="data" outline="0" fieldPosition="0">
        <references count="4">
          <reference field="4294967294" count="1" selected="0">
            <x v="0"/>
          </reference>
          <reference field="2" count="1" selected="0">
            <x v="15"/>
          </reference>
          <reference field="9" count="1" selected="0">
            <x v="6"/>
          </reference>
          <reference field="10" count="1" selected="0">
            <x v="1"/>
          </reference>
        </references>
      </pivotArea>
    </chartFormat>
    <chartFormat chart="2" format="564">
      <pivotArea type="data" outline="0" fieldPosition="0">
        <references count="4">
          <reference field="4294967294" count="1" selected="0">
            <x v="0"/>
          </reference>
          <reference field="2" count="1" selected="0">
            <x v="16"/>
          </reference>
          <reference field="9" count="1" selected="0">
            <x v="6"/>
          </reference>
          <reference field="10" count="1" selected="0">
            <x v="1"/>
          </reference>
        </references>
      </pivotArea>
    </chartFormat>
    <chartFormat chart="2" format="565">
      <pivotArea type="data" outline="0" fieldPosition="0">
        <references count="4">
          <reference field="4294967294" count="1" selected="0">
            <x v="0"/>
          </reference>
          <reference field="2" count="1" selected="0">
            <x v="17"/>
          </reference>
          <reference field="9" count="1" selected="0">
            <x v="6"/>
          </reference>
          <reference field="10" count="1" selected="0">
            <x v="1"/>
          </reference>
        </references>
      </pivotArea>
    </chartFormat>
    <chartFormat chart="2" format="566">
      <pivotArea type="data" outline="0" fieldPosition="0">
        <references count="4">
          <reference field="4294967294" count="1" selected="0">
            <x v="0"/>
          </reference>
          <reference field="2" count="1" selected="0">
            <x v="13"/>
          </reference>
          <reference field="9" count="1" selected="0">
            <x v="7"/>
          </reference>
          <reference field="10" count="1" selected="0">
            <x v="1"/>
          </reference>
        </references>
      </pivotArea>
    </chartFormat>
    <chartFormat chart="2" format="567">
      <pivotArea type="data" outline="0" fieldPosition="0">
        <references count="4">
          <reference field="4294967294" count="1" selected="0">
            <x v="0"/>
          </reference>
          <reference field="2" count="1" selected="0">
            <x v="14"/>
          </reference>
          <reference field="9" count="1" selected="0">
            <x v="7"/>
          </reference>
          <reference field="10" count="1" selected="0">
            <x v="1"/>
          </reference>
        </references>
      </pivotArea>
    </chartFormat>
    <chartFormat chart="2" format="568">
      <pivotArea type="data" outline="0" fieldPosition="0">
        <references count="4">
          <reference field="4294967294" count="1" selected="0">
            <x v="0"/>
          </reference>
          <reference field="2" count="1" selected="0">
            <x v="15"/>
          </reference>
          <reference field="9" count="1" selected="0">
            <x v="7"/>
          </reference>
          <reference field="10" count="1" selected="0">
            <x v="1"/>
          </reference>
        </references>
      </pivotArea>
    </chartFormat>
    <chartFormat chart="2" format="569">
      <pivotArea type="data" outline="0" fieldPosition="0">
        <references count="4">
          <reference field="4294967294" count="1" selected="0">
            <x v="0"/>
          </reference>
          <reference field="2" count="1" selected="0">
            <x v="16"/>
          </reference>
          <reference field="9" count="1" selected="0">
            <x v="7"/>
          </reference>
          <reference field="10" count="1" selected="0">
            <x v="1"/>
          </reference>
        </references>
      </pivotArea>
    </chartFormat>
    <chartFormat chart="2" format="570">
      <pivotArea type="data" outline="0" fieldPosition="0">
        <references count="4">
          <reference field="4294967294" count="1" selected="0">
            <x v="0"/>
          </reference>
          <reference field="2" count="1" selected="0">
            <x v="17"/>
          </reference>
          <reference field="9" count="1" selected="0">
            <x v="7"/>
          </reference>
          <reference field="10" count="1" selected="0">
            <x v="1"/>
          </reference>
        </references>
      </pivotArea>
    </chartFormat>
    <chartFormat chart="2" format="571">
      <pivotArea type="data" outline="0" fieldPosition="0">
        <references count="4">
          <reference field="4294967294" count="1" selected="0">
            <x v="0"/>
          </reference>
          <reference field="2" count="1" selected="0">
            <x v="13"/>
          </reference>
          <reference field="9" count="1" selected="0">
            <x v="0"/>
          </reference>
          <reference field="10" count="1" selected="0">
            <x v="2"/>
          </reference>
        </references>
      </pivotArea>
    </chartFormat>
    <chartFormat chart="2" format="572">
      <pivotArea type="data" outline="0" fieldPosition="0">
        <references count="4">
          <reference field="4294967294" count="1" selected="0">
            <x v="0"/>
          </reference>
          <reference field="2" count="1" selected="0">
            <x v="14"/>
          </reference>
          <reference field="9" count="1" selected="0">
            <x v="0"/>
          </reference>
          <reference field="10" count="1" selected="0">
            <x v="2"/>
          </reference>
        </references>
      </pivotArea>
    </chartFormat>
    <chartFormat chart="2" format="573">
      <pivotArea type="data" outline="0" fieldPosition="0">
        <references count="4">
          <reference field="4294967294" count="1" selected="0">
            <x v="0"/>
          </reference>
          <reference field="2" count="1" selected="0">
            <x v="15"/>
          </reference>
          <reference field="9" count="1" selected="0">
            <x v="0"/>
          </reference>
          <reference field="10" count="1" selected="0">
            <x v="2"/>
          </reference>
        </references>
      </pivotArea>
    </chartFormat>
    <chartFormat chart="2" format="574">
      <pivotArea type="data" outline="0" fieldPosition="0">
        <references count="4">
          <reference field="4294967294" count="1" selected="0">
            <x v="0"/>
          </reference>
          <reference field="2" count="1" selected="0">
            <x v="16"/>
          </reference>
          <reference field="9" count="1" selected="0">
            <x v="0"/>
          </reference>
          <reference field="10" count="1" selected="0">
            <x v="2"/>
          </reference>
        </references>
      </pivotArea>
    </chartFormat>
    <chartFormat chart="2" format="575">
      <pivotArea type="data" outline="0" fieldPosition="0">
        <references count="4">
          <reference field="4294967294" count="1" selected="0">
            <x v="0"/>
          </reference>
          <reference field="2" count="1" selected="0">
            <x v="17"/>
          </reference>
          <reference field="9" count="1" selected="0">
            <x v="0"/>
          </reference>
          <reference field="10" count="1" selected="0">
            <x v="2"/>
          </reference>
        </references>
      </pivotArea>
    </chartFormat>
    <chartFormat chart="2" format="576">
      <pivotArea type="data" outline="0" fieldPosition="0">
        <references count="4">
          <reference field="4294967294" count="1" selected="0">
            <x v="0"/>
          </reference>
          <reference field="2" count="1" selected="0">
            <x v="13"/>
          </reference>
          <reference field="9" count="1" selected="0">
            <x v="1"/>
          </reference>
          <reference field="10" count="1" selected="0">
            <x v="2"/>
          </reference>
        </references>
      </pivotArea>
    </chartFormat>
    <chartFormat chart="2" format="577">
      <pivotArea type="data" outline="0" fieldPosition="0">
        <references count="4">
          <reference field="4294967294" count="1" selected="0">
            <x v="0"/>
          </reference>
          <reference field="2" count="1" selected="0">
            <x v="14"/>
          </reference>
          <reference field="9" count="1" selected="0">
            <x v="1"/>
          </reference>
          <reference field="10" count="1" selected="0">
            <x v="2"/>
          </reference>
        </references>
      </pivotArea>
    </chartFormat>
    <chartFormat chart="2" format="578">
      <pivotArea type="data" outline="0" fieldPosition="0">
        <references count="4">
          <reference field="4294967294" count="1" selected="0">
            <x v="0"/>
          </reference>
          <reference field="2" count="1" selected="0">
            <x v="15"/>
          </reference>
          <reference field="9" count="1" selected="0">
            <x v="1"/>
          </reference>
          <reference field="10" count="1" selected="0">
            <x v="2"/>
          </reference>
        </references>
      </pivotArea>
    </chartFormat>
    <chartFormat chart="2" format="579">
      <pivotArea type="data" outline="0" fieldPosition="0">
        <references count="4">
          <reference field="4294967294" count="1" selected="0">
            <x v="0"/>
          </reference>
          <reference field="2" count="1" selected="0">
            <x v="16"/>
          </reference>
          <reference field="9" count="1" selected="0">
            <x v="1"/>
          </reference>
          <reference field="10" count="1" selected="0">
            <x v="2"/>
          </reference>
        </references>
      </pivotArea>
    </chartFormat>
    <chartFormat chart="2" format="580">
      <pivotArea type="data" outline="0" fieldPosition="0">
        <references count="4">
          <reference field="4294967294" count="1" selected="0">
            <x v="0"/>
          </reference>
          <reference field="2" count="1" selected="0">
            <x v="17"/>
          </reference>
          <reference field="9" count="1" selected="0">
            <x v="1"/>
          </reference>
          <reference field="10" count="1" selected="0">
            <x v="2"/>
          </reference>
        </references>
      </pivotArea>
    </chartFormat>
    <chartFormat chart="2" format="581">
      <pivotArea type="data" outline="0" fieldPosition="0">
        <references count="4">
          <reference field="4294967294" count="1" selected="0">
            <x v="0"/>
          </reference>
          <reference field="2" count="1" selected="0">
            <x v="13"/>
          </reference>
          <reference field="9" count="1" selected="0">
            <x v="2"/>
          </reference>
          <reference field="10" count="1" selected="0">
            <x v="2"/>
          </reference>
        </references>
      </pivotArea>
    </chartFormat>
    <chartFormat chart="2" format="582">
      <pivotArea type="data" outline="0" fieldPosition="0">
        <references count="4">
          <reference field="4294967294" count="1" selected="0">
            <x v="0"/>
          </reference>
          <reference field="2" count="1" selected="0">
            <x v="14"/>
          </reference>
          <reference field="9" count="1" selected="0">
            <x v="2"/>
          </reference>
          <reference field="10" count="1" selected="0">
            <x v="2"/>
          </reference>
        </references>
      </pivotArea>
    </chartFormat>
    <chartFormat chart="2" format="583">
      <pivotArea type="data" outline="0" fieldPosition="0">
        <references count="4">
          <reference field="4294967294" count="1" selected="0">
            <x v="0"/>
          </reference>
          <reference field="2" count="1" selected="0">
            <x v="15"/>
          </reference>
          <reference field="9" count="1" selected="0">
            <x v="2"/>
          </reference>
          <reference field="10" count="1" selected="0">
            <x v="2"/>
          </reference>
        </references>
      </pivotArea>
    </chartFormat>
    <chartFormat chart="2" format="584">
      <pivotArea type="data" outline="0" fieldPosition="0">
        <references count="4">
          <reference field="4294967294" count="1" selected="0">
            <x v="0"/>
          </reference>
          <reference field="2" count="1" selected="0">
            <x v="16"/>
          </reference>
          <reference field="9" count="1" selected="0">
            <x v="2"/>
          </reference>
          <reference field="10" count="1" selected="0">
            <x v="2"/>
          </reference>
        </references>
      </pivotArea>
    </chartFormat>
    <chartFormat chart="2" format="585">
      <pivotArea type="data" outline="0" fieldPosition="0">
        <references count="4">
          <reference field="4294967294" count="1" selected="0">
            <x v="0"/>
          </reference>
          <reference field="2" count="1" selected="0">
            <x v="17"/>
          </reference>
          <reference field="9" count="1" selected="0">
            <x v="2"/>
          </reference>
          <reference field="10" count="1" selected="0">
            <x v="2"/>
          </reference>
        </references>
      </pivotArea>
    </chartFormat>
    <chartFormat chart="2" format="586">
      <pivotArea type="data" outline="0" fieldPosition="0">
        <references count="4">
          <reference field="4294967294" count="1" selected="0">
            <x v="0"/>
          </reference>
          <reference field="2" count="1" selected="0">
            <x v="13"/>
          </reference>
          <reference field="9" count="1" selected="0">
            <x v="3"/>
          </reference>
          <reference field="10" count="1" selected="0">
            <x v="2"/>
          </reference>
        </references>
      </pivotArea>
    </chartFormat>
    <chartFormat chart="2" format="587">
      <pivotArea type="data" outline="0" fieldPosition="0">
        <references count="4">
          <reference field="4294967294" count="1" selected="0">
            <x v="0"/>
          </reference>
          <reference field="2" count="1" selected="0">
            <x v="14"/>
          </reference>
          <reference field="9" count="1" selected="0">
            <x v="3"/>
          </reference>
          <reference field="10" count="1" selected="0">
            <x v="2"/>
          </reference>
        </references>
      </pivotArea>
    </chartFormat>
    <chartFormat chart="2" format="588">
      <pivotArea type="data" outline="0" fieldPosition="0">
        <references count="4">
          <reference field="4294967294" count="1" selected="0">
            <x v="0"/>
          </reference>
          <reference field="2" count="1" selected="0">
            <x v="15"/>
          </reference>
          <reference field="9" count="1" selected="0">
            <x v="3"/>
          </reference>
          <reference field="10" count="1" selected="0">
            <x v="2"/>
          </reference>
        </references>
      </pivotArea>
    </chartFormat>
    <chartFormat chart="2" format="589">
      <pivotArea type="data" outline="0" fieldPosition="0">
        <references count="4">
          <reference field="4294967294" count="1" selected="0">
            <x v="0"/>
          </reference>
          <reference field="2" count="1" selected="0">
            <x v="16"/>
          </reference>
          <reference field="9" count="1" selected="0">
            <x v="3"/>
          </reference>
          <reference field="10" count="1" selected="0">
            <x v="2"/>
          </reference>
        </references>
      </pivotArea>
    </chartFormat>
    <chartFormat chart="2" format="590">
      <pivotArea type="data" outline="0" fieldPosition="0">
        <references count="4">
          <reference field="4294967294" count="1" selected="0">
            <x v="0"/>
          </reference>
          <reference field="2" count="1" selected="0">
            <x v="17"/>
          </reference>
          <reference field="9" count="1" selected="0">
            <x v="3"/>
          </reference>
          <reference field="10" count="1" selected="0">
            <x v="2"/>
          </reference>
        </references>
      </pivotArea>
    </chartFormat>
    <chartFormat chart="2" format="591">
      <pivotArea type="data" outline="0" fieldPosition="0">
        <references count="4">
          <reference field="4294967294" count="1" selected="0">
            <x v="0"/>
          </reference>
          <reference field="2" count="1" selected="0">
            <x v="13"/>
          </reference>
          <reference field="9" count="1" selected="0">
            <x v="4"/>
          </reference>
          <reference field="10" count="1" selected="0">
            <x v="2"/>
          </reference>
        </references>
      </pivotArea>
    </chartFormat>
    <chartFormat chart="2" format="592">
      <pivotArea type="data" outline="0" fieldPosition="0">
        <references count="4">
          <reference field="4294967294" count="1" selected="0">
            <x v="0"/>
          </reference>
          <reference field="2" count="1" selected="0">
            <x v="14"/>
          </reference>
          <reference field="9" count="1" selected="0">
            <x v="4"/>
          </reference>
          <reference field="10" count="1" selected="0">
            <x v="2"/>
          </reference>
        </references>
      </pivotArea>
    </chartFormat>
    <chartFormat chart="2" format="593">
      <pivotArea type="data" outline="0" fieldPosition="0">
        <references count="4">
          <reference field="4294967294" count="1" selected="0">
            <x v="0"/>
          </reference>
          <reference field="2" count="1" selected="0">
            <x v="15"/>
          </reference>
          <reference field="9" count="1" selected="0">
            <x v="4"/>
          </reference>
          <reference field="10" count="1" selected="0">
            <x v="2"/>
          </reference>
        </references>
      </pivotArea>
    </chartFormat>
    <chartFormat chart="2" format="594">
      <pivotArea type="data" outline="0" fieldPosition="0">
        <references count="4">
          <reference field="4294967294" count="1" selected="0">
            <x v="0"/>
          </reference>
          <reference field="2" count="1" selected="0">
            <x v="16"/>
          </reference>
          <reference field="9" count="1" selected="0">
            <x v="4"/>
          </reference>
          <reference field="10" count="1" selected="0">
            <x v="2"/>
          </reference>
        </references>
      </pivotArea>
    </chartFormat>
    <chartFormat chart="2" format="595">
      <pivotArea type="data" outline="0" fieldPosition="0">
        <references count="4">
          <reference field="4294967294" count="1" selected="0">
            <x v="0"/>
          </reference>
          <reference field="2" count="1" selected="0">
            <x v="17"/>
          </reference>
          <reference field="9" count="1" selected="0">
            <x v="4"/>
          </reference>
          <reference field="10" count="1" selected="0">
            <x v="2"/>
          </reference>
        </references>
      </pivotArea>
    </chartFormat>
    <chartFormat chart="2" format="596">
      <pivotArea type="data" outline="0" fieldPosition="0">
        <references count="4">
          <reference field="4294967294" count="1" selected="0">
            <x v="0"/>
          </reference>
          <reference field="2" count="1" selected="0">
            <x v="13"/>
          </reference>
          <reference field="9" count="1" selected="0">
            <x v="5"/>
          </reference>
          <reference field="10" count="1" selected="0">
            <x v="2"/>
          </reference>
        </references>
      </pivotArea>
    </chartFormat>
    <chartFormat chart="2" format="597">
      <pivotArea type="data" outline="0" fieldPosition="0">
        <references count="4">
          <reference field="4294967294" count="1" selected="0">
            <x v="0"/>
          </reference>
          <reference field="2" count="1" selected="0">
            <x v="14"/>
          </reference>
          <reference field="9" count="1" selected="0">
            <x v="5"/>
          </reference>
          <reference field="10" count="1" selected="0">
            <x v="2"/>
          </reference>
        </references>
      </pivotArea>
    </chartFormat>
    <chartFormat chart="2" format="598">
      <pivotArea type="data" outline="0" fieldPosition="0">
        <references count="4">
          <reference field="4294967294" count="1" selected="0">
            <x v="0"/>
          </reference>
          <reference field="2" count="1" selected="0">
            <x v="15"/>
          </reference>
          <reference field="9" count="1" selected="0">
            <x v="5"/>
          </reference>
          <reference field="10" count="1" selected="0">
            <x v="2"/>
          </reference>
        </references>
      </pivotArea>
    </chartFormat>
    <chartFormat chart="2" format="599">
      <pivotArea type="data" outline="0" fieldPosition="0">
        <references count="4">
          <reference field="4294967294" count="1" selected="0">
            <x v="0"/>
          </reference>
          <reference field="2" count="1" selected="0">
            <x v="16"/>
          </reference>
          <reference field="9" count="1" selected="0">
            <x v="5"/>
          </reference>
          <reference field="10" count="1" selected="0">
            <x v="2"/>
          </reference>
        </references>
      </pivotArea>
    </chartFormat>
    <chartFormat chart="2" format="600">
      <pivotArea type="data" outline="0" fieldPosition="0">
        <references count="4">
          <reference field="4294967294" count="1" selected="0">
            <x v="0"/>
          </reference>
          <reference field="2" count="1" selected="0">
            <x v="17"/>
          </reference>
          <reference field="9" count="1" selected="0">
            <x v="5"/>
          </reference>
          <reference field="10" count="1" selected="0">
            <x v="2"/>
          </reference>
        </references>
      </pivotArea>
    </chartFormat>
    <chartFormat chart="2" format="601">
      <pivotArea type="data" outline="0" fieldPosition="0">
        <references count="4">
          <reference field="4294967294" count="1" selected="0">
            <x v="0"/>
          </reference>
          <reference field="2" count="1" selected="0">
            <x v="13"/>
          </reference>
          <reference field="9" count="1" selected="0">
            <x v="6"/>
          </reference>
          <reference field="10" count="1" selected="0">
            <x v="2"/>
          </reference>
        </references>
      </pivotArea>
    </chartFormat>
    <chartFormat chart="2" format="602">
      <pivotArea type="data" outline="0" fieldPosition="0">
        <references count="4">
          <reference field="4294967294" count="1" selected="0">
            <x v="0"/>
          </reference>
          <reference field="2" count="1" selected="0">
            <x v="14"/>
          </reference>
          <reference field="9" count="1" selected="0">
            <x v="6"/>
          </reference>
          <reference field="10" count="1" selected="0">
            <x v="2"/>
          </reference>
        </references>
      </pivotArea>
    </chartFormat>
    <chartFormat chart="2" format="603">
      <pivotArea type="data" outline="0" fieldPosition="0">
        <references count="4">
          <reference field="4294967294" count="1" selected="0">
            <x v="0"/>
          </reference>
          <reference field="2" count="1" selected="0">
            <x v="15"/>
          </reference>
          <reference field="9" count="1" selected="0">
            <x v="6"/>
          </reference>
          <reference field="10" count="1" selected="0">
            <x v="2"/>
          </reference>
        </references>
      </pivotArea>
    </chartFormat>
    <chartFormat chart="2" format="604">
      <pivotArea type="data" outline="0" fieldPosition="0">
        <references count="4">
          <reference field="4294967294" count="1" selected="0">
            <x v="0"/>
          </reference>
          <reference field="2" count="1" selected="0">
            <x v="16"/>
          </reference>
          <reference field="9" count="1" selected="0">
            <x v="6"/>
          </reference>
          <reference field="10" count="1" selected="0">
            <x v="2"/>
          </reference>
        </references>
      </pivotArea>
    </chartFormat>
    <chartFormat chart="2" format="605">
      <pivotArea type="data" outline="0" fieldPosition="0">
        <references count="4">
          <reference field="4294967294" count="1" selected="0">
            <x v="0"/>
          </reference>
          <reference field="2" count="1" selected="0">
            <x v="17"/>
          </reference>
          <reference field="9" count="1" selected="0">
            <x v="6"/>
          </reference>
          <reference field="10" count="1" selected="0">
            <x v="2"/>
          </reference>
        </references>
      </pivotArea>
    </chartFormat>
    <chartFormat chart="2" format="606">
      <pivotArea type="data" outline="0" fieldPosition="0">
        <references count="4">
          <reference field="4294967294" count="1" selected="0">
            <x v="0"/>
          </reference>
          <reference field="2" count="1" selected="0">
            <x v="13"/>
          </reference>
          <reference field="9" count="1" selected="0">
            <x v="7"/>
          </reference>
          <reference field="10" count="1" selected="0">
            <x v="2"/>
          </reference>
        </references>
      </pivotArea>
    </chartFormat>
    <chartFormat chart="2" format="607">
      <pivotArea type="data" outline="0" fieldPosition="0">
        <references count="4">
          <reference field="4294967294" count="1" selected="0">
            <x v="0"/>
          </reference>
          <reference field="2" count="1" selected="0">
            <x v="14"/>
          </reference>
          <reference field="9" count="1" selected="0">
            <x v="7"/>
          </reference>
          <reference field="10" count="1" selected="0">
            <x v="2"/>
          </reference>
        </references>
      </pivotArea>
    </chartFormat>
    <chartFormat chart="2" format="608">
      <pivotArea type="data" outline="0" fieldPosition="0">
        <references count="4">
          <reference field="4294967294" count="1" selected="0">
            <x v="0"/>
          </reference>
          <reference field="2" count="1" selected="0">
            <x v="15"/>
          </reference>
          <reference field="9" count="1" selected="0">
            <x v="7"/>
          </reference>
          <reference field="10" count="1" selected="0">
            <x v="2"/>
          </reference>
        </references>
      </pivotArea>
    </chartFormat>
    <chartFormat chart="2" format="609">
      <pivotArea type="data" outline="0" fieldPosition="0">
        <references count="4">
          <reference field="4294967294" count="1" selected="0">
            <x v="0"/>
          </reference>
          <reference field="2" count="1" selected="0">
            <x v="16"/>
          </reference>
          <reference field="9" count="1" selected="0">
            <x v="7"/>
          </reference>
          <reference field="10" count="1" selected="0">
            <x v="2"/>
          </reference>
        </references>
      </pivotArea>
    </chartFormat>
    <chartFormat chart="2" format="610">
      <pivotArea type="data" outline="0" fieldPosition="0">
        <references count="4">
          <reference field="4294967294" count="1" selected="0">
            <x v="0"/>
          </reference>
          <reference field="2" count="1" selected="0">
            <x v="17"/>
          </reference>
          <reference field="9" count="1" selected="0">
            <x v="7"/>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808D5C-01E2-484B-8C3E-810FF00247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5:G31" firstHeaderRow="1" firstDataRow="3" firstDataCol="1" rowPageCount="1" colPageCount="1"/>
  <pivotFields count="14">
    <pivotField multipleItemSelectionAllowed="1" showAll="0"/>
    <pivotField axis="axisCol" showAll="0">
      <items count="13">
        <item x="1"/>
        <item x="6"/>
        <item h="1" x="7"/>
        <item h="1" x="10"/>
        <item h="1" x="3"/>
        <item h="1" x="11"/>
        <item h="1" x="5"/>
        <item h="1" x="8"/>
        <item h="1" x="0"/>
        <item h="1" x="9"/>
        <item h="1" x="4"/>
        <item h="1" x="2"/>
        <item t="default"/>
      </items>
    </pivotField>
    <pivotField showAll="0">
      <items count="19">
        <item x="3"/>
        <item x="1"/>
        <item f="1" x="7"/>
        <item f="1" x="8"/>
        <item f="1" x="9"/>
        <item f="1" x="10"/>
        <item f="1" x="11"/>
        <item f="1" x="12"/>
        <item x="4"/>
        <item x="0"/>
        <item x="5"/>
        <item x="2"/>
        <item x="6"/>
        <item f="1" x="13"/>
        <item f="1" x="14"/>
        <item f="1" x="15"/>
        <item f="1" x="16"/>
        <item f="1" x="17"/>
        <item t="default"/>
      </items>
    </pivotField>
    <pivotField axis="axisPage" numFmtId="164" showAll="0">
      <items count="145">
        <item x="118"/>
        <item x="108"/>
        <item x="88"/>
        <item x="17"/>
        <item x="0"/>
        <item x="58"/>
        <item x="1"/>
        <item x="28"/>
        <item x="22"/>
        <item x="71"/>
        <item x="107"/>
        <item x="100"/>
        <item x="27"/>
        <item x="57"/>
        <item x="104"/>
        <item x="131"/>
        <item x="90"/>
        <item x="19"/>
        <item x="6"/>
        <item x="32"/>
        <item x="133"/>
        <item x="84"/>
        <item x="87"/>
        <item x="18"/>
        <item x="119"/>
        <item x="103"/>
        <item x="99"/>
        <item x="142"/>
        <item x="3"/>
        <item x="52"/>
        <item x="13"/>
        <item x="47"/>
        <item x="45"/>
        <item x="50"/>
        <item x="115"/>
        <item x="82"/>
        <item x="40"/>
        <item x="141"/>
        <item x="37"/>
        <item x="74"/>
        <item x="25"/>
        <item x="137"/>
        <item x="76"/>
        <item x="53"/>
        <item x="48"/>
        <item x="83"/>
        <item x="66"/>
        <item x="81"/>
        <item x="92"/>
        <item x="135"/>
        <item x="4"/>
        <item x="7"/>
        <item x="55"/>
        <item x="34"/>
        <item x="122"/>
        <item x="106"/>
        <item x="129"/>
        <item x="132"/>
        <item x="134"/>
        <item x="124"/>
        <item x="69"/>
        <item x="77"/>
        <item x="60"/>
        <item x="29"/>
        <item x="117"/>
        <item x="44"/>
        <item x="67"/>
        <item x="111"/>
        <item x="56"/>
        <item x="93"/>
        <item x="79"/>
        <item x="64"/>
        <item x="5"/>
        <item x="36"/>
        <item x="125"/>
        <item x="8"/>
        <item x="12"/>
        <item x="121"/>
        <item x="75"/>
        <item x="102"/>
        <item x="109"/>
        <item x="113"/>
        <item x="35"/>
        <item x="46"/>
        <item x="42"/>
        <item x="138"/>
        <item x="123"/>
        <item x="24"/>
        <item x="30"/>
        <item x="51"/>
        <item x="54"/>
        <item x="39"/>
        <item x="130"/>
        <item x="26"/>
        <item x="23"/>
        <item x="14"/>
        <item x="70"/>
        <item x="80"/>
        <item x="9"/>
        <item x="136"/>
        <item x="85"/>
        <item x="11"/>
        <item x="65"/>
        <item x="62"/>
        <item x="68"/>
        <item x="95"/>
        <item x="143"/>
        <item x="21"/>
        <item x="114"/>
        <item x="127"/>
        <item x="15"/>
        <item x="98"/>
        <item x="73"/>
        <item x="10"/>
        <item x="128"/>
        <item x="41"/>
        <item x="112"/>
        <item x="2"/>
        <item x="63"/>
        <item x="97"/>
        <item x="120"/>
        <item x="59"/>
        <item x="49"/>
        <item x="139"/>
        <item x="89"/>
        <item x="61"/>
        <item x="72"/>
        <item x="33"/>
        <item x="110"/>
        <item x="20"/>
        <item x="16"/>
        <item x="31"/>
        <item x="101"/>
        <item x="105"/>
        <item x="43"/>
        <item x="38"/>
        <item x="96"/>
        <item x="116"/>
        <item x="94"/>
        <item x="126"/>
        <item x="91"/>
        <item x="140"/>
        <item x="78"/>
        <item x="86"/>
        <item t="default"/>
      </items>
    </pivotField>
    <pivotField axis="axisRow" showAll="0">
      <items count="61">
        <item x="33"/>
        <item x="45"/>
        <item x="1"/>
        <item x="29"/>
        <item x="46"/>
        <item x="56"/>
        <item x="21"/>
        <item x="40"/>
        <item x="37"/>
        <item x="51"/>
        <item x="16"/>
        <item x="54"/>
        <item x="52"/>
        <item x="3"/>
        <item x="26"/>
        <item x="41"/>
        <item x="8"/>
        <item x="2"/>
        <item x="42"/>
        <item x="47"/>
        <item x="55"/>
        <item x="43"/>
        <item x="17"/>
        <item x="6"/>
        <item x="9"/>
        <item x="36"/>
        <item x="32"/>
        <item x="22"/>
        <item x="38"/>
        <item x="50"/>
        <item x="11"/>
        <item x="48"/>
        <item x="10"/>
        <item x="59"/>
        <item x="30"/>
        <item x="5"/>
        <item x="44"/>
        <item x="25"/>
        <item x="57"/>
        <item x="23"/>
        <item x="20"/>
        <item x="24"/>
        <item x="7"/>
        <item x="19"/>
        <item x="0"/>
        <item x="27"/>
        <item x="12"/>
        <item x="35"/>
        <item x="4"/>
        <item x="15"/>
        <item x="58"/>
        <item x="28"/>
        <item x="18"/>
        <item x="14"/>
        <item x="34"/>
        <item x="49"/>
        <item x="39"/>
        <item x="13"/>
        <item x="31"/>
        <item x="53"/>
        <item t="default"/>
      </items>
    </pivotField>
    <pivotField showAll="0"/>
    <pivotField showAll="0"/>
    <pivotField showAll="0"/>
    <pivotField multipleItemSelectionAllowed="1" showAll="0"/>
    <pivotField showAll="0"/>
    <pivotField axis="axisRow" multipleItemSelectionAllowed="1" showAll="0">
      <items count="4">
        <item x="2"/>
        <item h="1" x="1"/>
        <item h="1" x="0"/>
        <item t="default"/>
      </items>
    </pivotField>
    <pivotField dataField="1" showAll="0"/>
    <pivotField dataField="1" showAll="0"/>
    <pivotField showAll="0"/>
  </pivotFields>
  <rowFields count="2">
    <field x="10"/>
    <field x="4"/>
  </rowFields>
  <rowItems count="24">
    <i>
      <x/>
    </i>
    <i r="1">
      <x/>
    </i>
    <i r="1">
      <x v="3"/>
    </i>
    <i r="1">
      <x v="4"/>
    </i>
    <i r="1">
      <x v="6"/>
    </i>
    <i r="1">
      <x v="8"/>
    </i>
    <i r="1">
      <x v="12"/>
    </i>
    <i r="1">
      <x v="13"/>
    </i>
    <i r="1">
      <x v="15"/>
    </i>
    <i r="1">
      <x v="16"/>
    </i>
    <i r="1">
      <x v="18"/>
    </i>
    <i r="1">
      <x v="19"/>
    </i>
    <i r="1">
      <x v="23"/>
    </i>
    <i r="1">
      <x v="26"/>
    </i>
    <i r="1">
      <x v="30"/>
    </i>
    <i r="1">
      <x v="32"/>
    </i>
    <i r="1">
      <x v="35"/>
    </i>
    <i r="1">
      <x v="37"/>
    </i>
    <i r="1">
      <x v="39"/>
    </i>
    <i r="1">
      <x v="43"/>
    </i>
    <i r="1">
      <x v="44"/>
    </i>
    <i r="1">
      <x v="47"/>
    </i>
    <i r="1">
      <x v="49"/>
    </i>
    <i t="grand">
      <x/>
    </i>
  </rowItems>
  <colFields count="2">
    <field x="1"/>
    <field x="-2"/>
  </colFields>
  <colItems count="6">
    <i>
      <x/>
      <x/>
    </i>
    <i r="1" i="1">
      <x v="1"/>
    </i>
    <i>
      <x v="1"/>
      <x/>
    </i>
    <i r="1" i="1">
      <x v="1"/>
    </i>
    <i t="grand">
      <x/>
    </i>
    <i t="grand" i="1">
      <x/>
    </i>
  </colItems>
  <pageFields count="1">
    <pageField fld="3" hier="-1"/>
  </pageFields>
  <dataFields count="2">
    <dataField name="Sum of Utilization_Rate(%)" fld="11" baseField="0" baseItem="0"/>
    <dataField name="Sum of Downtime_Rate(%)" fld="12" baseField="0" baseItem="0"/>
  </dataFields>
  <chartFormats count="13">
    <chartFormat chart="7" format="106" series="1">
      <pivotArea type="data" outline="0" fieldPosition="0">
        <references count="1">
          <reference field="10" count="1" selected="0">
            <x v="2"/>
          </reference>
        </references>
      </pivotArea>
    </chartFormat>
    <chartFormat chart="7" format="282" series="1">
      <pivotArea type="data" outline="0" fieldPosition="0">
        <references count="2">
          <reference field="4294967294" count="1" selected="0">
            <x v="0"/>
          </reference>
          <reference field="1" count="1" selected="0">
            <x v="0"/>
          </reference>
        </references>
      </pivotArea>
    </chartFormat>
    <chartFormat chart="7" format="283" series="1">
      <pivotArea type="data" outline="0" fieldPosition="0">
        <references count="2">
          <reference field="4294967294" count="1" selected="0">
            <x v="0"/>
          </reference>
          <reference field="1" count="1" selected="0">
            <x v="1"/>
          </reference>
        </references>
      </pivotArea>
    </chartFormat>
    <chartFormat chart="7" format="284" series="1">
      <pivotArea type="data" outline="0" fieldPosition="0">
        <references count="2">
          <reference field="4294967294" count="1" selected="0">
            <x v="0"/>
          </reference>
          <reference field="1" count="1" selected="0">
            <x v="2"/>
          </reference>
        </references>
      </pivotArea>
    </chartFormat>
    <chartFormat chart="7" format="285" series="1">
      <pivotArea type="data" outline="0" fieldPosition="0">
        <references count="2">
          <reference field="4294967294" count="1" selected="0">
            <x v="1"/>
          </reference>
          <reference field="1" count="1" selected="0">
            <x v="1"/>
          </reference>
        </references>
      </pivotArea>
    </chartFormat>
    <chartFormat chart="7" format="286" series="1">
      <pivotArea type="data" outline="0" fieldPosition="0">
        <references count="2">
          <reference field="4294967294" count="1" selected="0">
            <x v="1"/>
          </reference>
          <reference field="1" count="1" selected="0">
            <x v="2"/>
          </reference>
        </references>
      </pivotArea>
    </chartFormat>
    <chartFormat chart="7" format="287" series="1">
      <pivotArea type="data" outline="0" fieldPosition="0">
        <references count="2">
          <reference field="4294967294" count="1" selected="0">
            <x v="1"/>
          </reference>
          <reference field="1" count="1" selected="0">
            <x v="0"/>
          </reference>
        </references>
      </pivotArea>
    </chartFormat>
    <chartFormat chart="7" format="288" series="1">
      <pivotArea type="data" outline="0" fieldPosition="0">
        <references count="2">
          <reference field="4294967294" count="1" selected="0">
            <x v="0"/>
          </reference>
          <reference field="1" count="1" selected="0">
            <x v="8"/>
          </reference>
        </references>
      </pivotArea>
    </chartFormat>
    <chartFormat chart="7" format="289" series="1">
      <pivotArea type="data" outline="0" fieldPosition="0">
        <references count="2">
          <reference field="4294967294" count="1" selected="0">
            <x v="1"/>
          </reference>
          <reference field="1" count="1" selected="0">
            <x v="8"/>
          </reference>
        </references>
      </pivotArea>
    </chartFormat>
    <chartFormat chart="7" format="290" series="1">
      <pivotArea type="data" outline="0" fieldPosition="0">
        <references count="2">
          <reference field="4294967294" count="1" selected="0">
            <x v="0"/>
          </reference>
          <reference field="1" count="1" selected="0">
            <x v="5"/>
          </reference>
        </references>
      </pivotArea>
    </chartFormat>
    <chartFormat chart="7" format="291" series="1">
      <pivotArea type="data" outline="0" fieldPosition="0">
        <references count="2">
          <reference field="4294967294" count="1" selected="0">
            <x v="1"/>
          </reference>
          <reference field="1" count="1" selected="0">
            <x v="5"/>
          </reference>
        </references>
      </pivotArea>
    </chartFormat>
    <chartFormat chart="7" format="292" series="1">
      <pivotArea type="data" outline="0" fieldPosition="0">
        <references count="2">
          <reference field="4294967294" count="1" selected="0">
            <x v="0"/>
          </reference>
          <reference field="1" count="1" selected="0">
            <x v="4"/>
          </reference>
        </references>
      </pivotArea>
    </chartFormat>
    <chartFormat chart="7" format="293"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079595-1551-4C5A-B371-E2F0A59EF1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6:AP80" firstHeaderRow="1" firstDataRow="4" firstDataCol="1" rowPageCount="2" colPageCount="1"/>
  <pivotFields count="14">
    <pivotField showAll="0"/>
    <pivotField axis="axisRow" showAll="0">
      <items count="13">
        <item x="1"/>
        <item x="6"/>
        <item x="7"/>
        <item x="10"/>
        <item x="3"/>
        <item x="11"/>
        <item x="5"/>
        <item x="8"/>
        <item x="0"/>
        <item x="9"/>
        <item x="4"/>
        <item x="2"/>
        <item t="default"/>
      </items>
    </pivotField>
    <pivotField axis="axisRow" showAll="0">
      <items count="19">
        <item x="3"/>
        <item x="1"/>
        <item h="1" f="1" x="7"/>
        <item h="1" f="1" x="8"/>
        <item h="1" f="1" x="9"/>
        <item h="1" f="1" x="10"/>
        <item h="1" f="1" x="11"/>
        <item h="1" f="1" x="12"/>
        <item x="4"/>
        <item h="1" x="0"/>
        <item h="1" x="5"/>
        <item h="1" x="2"/>
        <item x="6"/>
        <item f="1" x="13"/>
        <item f="1" x="14"/>
        <item f="1" x="15"/>
        <item f="1" x="16"/>
        <item f="1" x="17"/>
        <item t="default"/>
      </items>
    </pivotField>
    <pivotField axis="axisPage" numFmtId="164" multipleItemSelectionAllowed="1" showAll="0">
      <items count="145">
        <item x="118"/>
        <item x="108"/>
        <item x="88"/>
        <item x="17"/>
        <item x="0"/>
        <item x="58"/>
        <item x="1"/>
        <item x="28"/>
        <item x="22"/>
        <item x="71"/>
        <item x="107"/>
        <item x="100"/>
        <item x="27"/>
        <item x="57"/>
        <item x="104"/>
        <item x="131"/>
        <item x="90"/>
        <item x="19"/>
        <item x="6"/>
        <item x="32"/>
        <item x="133"/>
        <item x="84"/>
        <item h="1" x="87"/>
        <item h="1" x="18"/>
        <item h="1" x="119"/>
        <item h="1" x="103"/>
        <item h="1" x="99"/>
        <item h="1" x="142"/>
        <item h="1" x="3"/>
        <item h="1" x="52"/>
        <item h="1" x="13"/>
        <item h="1" x="47"/>
        <item h="1" x="45"/>
        <item h="1" x="50"/>
        <item h="1" x="115"/>
        <item h="1" x="82"/>
        <item h="1" x="40"/>
        <item h="1" x="141"/>
        <item h="1" x="37"/>
        <item h="1" x="74"/>
        <item h="1" x="25"/>
        <item h="1" x="137"/>
        <item h="1" x="76"/>
        <item h="1" x="53"/>
        <item h="1" x="48"/>
        <item h="1" x="83"/>
        <item h="1" x="66"/>
        <item h="1" x="81"/>
        <item h="1" x="92"/>
        <item h="1" x="135"/>
        <item h="1" x="4"/>
        <item h="1" x="7"/>
        <item h="1" x="55"/>
        <item h="1" x="34"/>
        <item h="1" x="122"/>
        <item h="1" x="106"/>
        <item h="1" x="129"/>
        <item h="1" x="132"/>
        <item h="1" x="134"/>
        <item h="1" x="124"/>
        <item h="1" x="69"/>
        <item h="1" x="77"/>
        <item h="1" x="60"/>
        <item h="1" x="29"/>
        <item h="1" x="117"/>
        <item h="1" x="44"/>
        <item h="1" x="67"/>
        <item h="1" x="111"/>
        <item h="1" x="56"/>
        <item h="1" x="93"/>
        <item h="1" x="79"/>
        <item h="1" x="64"/>
        <item h="1" x="5"/>
        <item h="1" x="36"/>
        <item h="1" x="125"/>
        <item h="1" x="8"/>
        <item h="1" x="12"/>
        <item h="1" x="121"/>
        <item h="1" x="75"/>
        <item h="1" x="102"/>
        <item h="1" x="109"/>
        <item h="1" x="113"/>
        <item h="1" x="35"/>
        <item h="1" x="46"/>
        <item h="1" x="42"/>
        <item h="1" x="138"/>
        <item h="1" x="123"/>
        <item h="1" x="24"/>
        <item h="1" x="30"/>
        <item h="1" x="51"/>
        <item h="1" x="54"/>
        <item h="1" x="39"/>
        <item h="1" x="130"/>
        <item h="1" x="26"/>
        <item h="1" x="23"/>
        <item h="1" x="14"/>
        <item h="1" x="70"/>
        <item h="1" x="80"/>
        <item h="1" x="9"/>
        <item h="1" x="136"/>
        <item h="1" x="85"/>
        <item h="1" x="11"/>
        <item h="1" x="65"/>
        <item h="1" x="62"/>
        <item h="1" x="68"/>
        <item h="1" x="95"/>
        <item h="1" x="143"/>
        <item h="1" x="21"/>
        <item h="1" x="114"/>
        <item h="1" x="127"/>
        <item h="1" x="15"/>
        <item h="1" x="98"/>
        <item h="1" x="73"/>
        <item h="1" x="10"/>
        <item h="1" x="128"/>
        <item h="1" x="41"/>
        <item h="1" x="112"/>
        <item h="1" x="2"/>
        <item h="1" x="63"/>
        <item h="1" x="97"/>
        <item h="1" x="120"/>
        <item h="1" x="59"/>
        <item h="1" x="49"/>
        <item h="1" x="139"/>
        <item h="1" x="89"/>
        <item h="1" x="61"/>
        <item h="1" x="72"/>
        <item h="1" x="33"/>
        <item h="1" x="110"/>
        <item h="1" x="20"/>
        <item h="1" x="16"/>
        <item h="1" x="31"/>
        <item h="1" x="101"/>
        <item h="1" x="105"/>
        <item h="1" x="43"/>
        <item h="1" x="38"/>
        <item h="1" x="96"/>
        <item h="1" x="116"/>
        <item h="1" x="94"/>
        <item h="1" x="126"/>
        <item h="1" x="91"/>
        <item h="1" x="140"/>
        <item h="1" x="78"/>
        <item h="1" x="86"/>
        <item t="default"/>
      </items>
    </pivotField>
    <pivotField showAll="0"/>
    <pivotField showAll="0"/>
    <pivotField showAll="0"/>
    <pivotField axis="axisCol" showAll="0">
      <items count="9">
        <item h="1" x="6"/>
        <item h="1" x="3"/>
        <item h="1" x="1"/>
        <item h="1" x="2"/>
        <item x="4"/>
        <item h="1" x="7"/>
        <item h="1" x="0"/>
        <item h="1" x="5"/>
        <item t="default"/>
      </items>
    </pivotField>
    <pivotField axis="axisCol" multipleItemSelectionAllowed="1" showAll="0">
      <items count="4">
        <item x="1"/>
        <item x="0"/>
        <item x="2"/>
        <item t="default"/>
      </items>
    </pivotField>
    <pivotField axis="axisCol" showAll="0">
      <items count="9">
        <item x="6"/>
        <item x="0"/>
        <item x="2"/>
        <item x="1"/>
        <item x="3"/>
        <item x="4"/>
        <item x="5"/>
        <item x="7"/>
        <item t="default"/>
      </items>
    </pivotField>
    <pivotField axis="axisPage" multipleItemSelectionAllowed="1" showAll="0">
      <items count="4">
        <item x="2"/>
        <item x="1"/>
        <item x="0"/>
        <item t="default"/>
      </items>
    </pivotField>
    <pivotField showAll="0"/>
    <pivotField dataField="1" showAll="0"/>
    <pivotField showAll="0"/>
  </pivotFields>
  <rowFields count="2">
    <field x="2"/>
    <field x="1"/>
  </rowFields>
  <rowItems count="71">
    <i>
      <x v="1"/>
    </i>
    <i r="1">
      <x v="1"/>
    </i>
    <i r="1">
      <x v="9"/>
    </i>
    <i>
      <x v="8"/>
    </i>
    <i r="1">
      <x v="11"/>
    </i>
    <i>
      <x v="13"/>
    </i>
    <i r="1">
      <x/>
    </i>
    <i r="1">
      <x v="1"/>
    </i>
    <i r="1">
      <x v="2"/>
    </i>
    <i r="1">
      <x v="3"/>
    </i>
    <i r="1">
      <x v="4"/>
    </i>
    <i r="1">
      <x v="5"/>
    </i>
    <i r="1">
      <x v="6"/>
    </i>
    <i r="1">
      <x v="7"/>
    </i>
    <i r="1">
      <x v="8"/>
    </i>
    <i r="1">
      <x v="9"/>
    </i>
    <i r="1">
      <x v="10"/>
    </i>
    <i r="1">
      <x v="11"/>
    </i>
    <i>
      <x v="14"/>
    </i>
    <i r="1">
      <x/>
    </i>
    <i r="1">
      <x v="1"/>
    </i>
    <i r="1">
      <x v="2"/>
    </i>
    <i r="1">
      <x v="3"/>
    </i>
    <i r="1">
      <x v="4"/>
    </i>
    <i r="1">
      <x v="5"/>
    </i>
    <i r="1">
      <x v="6"/>
    </i>
    <i r="1">
      <x v="7"/>
    </i>
    <i r="1">
      <x v="8"/>
    </i>
    <i r="1">
      <x v="9"/>
    </i>
    <i r="1">
      <x v="10"/>
    </i>
    <i r="1">
      <x v="11"/>
    </i>
    <i>
      <x v="15"/>
    </i>
    <i r="1">
      <x/>
    </i>
    <i r="1">
      <x v="1"/>
    </i>
    <i r="1">
      <x v="2"/>
    </i>
    <i r="1">
      <x v="3"/>
    </i>
    <i r="1">
      <x v="4"/>
    </i>
    <i r="1">
      <x v="5"/>
    </i>
    <i r="1">
      <x v="6"/>
    </i>
    <i r="1">
      <x v="7"/>
    </i>
    <i r="1">
      <x v="8"/>
    </i>
    <i r="1">
      <x v="9"/>
    </i>
    <i r="1">
      <x v="10"/>
    </i>
    <i r="1">
      <x v="11"/>
    </i>
    <i>
      <x v="16"/>
    </i>
    <i r="1">
      <x/>
    </i>
    <i r="1">
      <x v="1"/>
    </i>
    <i r="1">
      <x v="2"/>
    </i>
    <i r="1">
      <x v="3"/>
    </i>
    <i r="1">
      <x v="4"/>
    </i>
    <i r="1">
      <x v="5"/>
    </i>
    <i r="1">
      <x v="6"/>
    </i>
    <i r="1">
      <x v="7"/>
    </i>
    <i r="1">
      <x v="8"/>
    </i>
    <i r="1">
      <x v="9"/>
    </i>
    <i r="1">
      <x v="10"/>
    </i>
    <i r="1">
      <x v="11"/>
    </i>
    <i>
      <x v="17"/>
    </i>
    <i r="1">
      <x/>
    </i>
    <i r="1">
      <x v="1"/>
    </i>
    <i r="1">
      <x v="2"/>
    </i>
    <i r="1">
      <x v="3"/>
    </i>
    <i r="1">
      <x v="4"/>
    </i>
    <i r="1">
      <x v="5"/>
    </i>
    <i r="1">
      <x v="6"/>
    </i>
    <i r="1">
      <x v="7"/>
    </i>
    <i r="1">
      <x v="8"/>
    </i>
    <i r="1">
      <x v="9"/>
    </i>
    <i r="1">
      <x v="10"/>
    </i>
    <i r="1">
      <x v="11"/>
    </i>
    <i t="grand">
      <x/>
    </i>
  </rowItems>
  <colFields count="3">
    <field x="9"/>
    <field x="7"/>
    <field x="8"/>
  </colFields>
  <colItems count="41">
    <i>
      <x/>
      <x v="4"/>
      <x/>
    </i>
    <i r="2">
      <x v="1"/>
    </i>
    <i r="2">
      <x v="2"/>
    </i>
    <i t="default" r="1">
      <x v="4"/>
    </i>
    <i t="default">
      <x/>
    </i>
    <i>
      <x v="1"/>
      <x v="4"/>
      <x/>
    </i>
    <i r="2">
      <x v="1"/>
    </i>
    <i r="2">
      <x v="2"/>
    </i>
    <i t="default" r="1">
      <x v="4"/>
    </i>
    <i t="default">
      <x v="1"/>
    </i>
    <i>
      <x v="2"/>
      <x v="4"/>
      <x/>
    </i>
    <i r="2">
      <x v="1"/>
    </i>
    <i r="2">
      <x v="2"/>
    </i>
    <i t="default" r="1">
      <x v="4"/>
    </i>
    <i t="default">
      <x v="2"/>
    </i>
    <i>
      <x v="3"/>
      <x v="4"/>
      <x/>
    </i>
    <i r="2">
      <x v="1"/>
    </i>
    <i r="2">
      <x v="2"/>
    </i>
    <i t="default" r="1">
      <x v="4"/>
    </i>
    <i t="default">
      <x v="3"/>
    </i>
    <i>
      <x v="4"/>
      <x v="4"/>
      <x/>
    </i>
    <i r="2">
      <x v="1"/>
    </i>
    <i r="2">
      <x v="2"/>
    </i>
    <i t="default" r="1">
      <x v="4"/>
    </i>
    <i t="default">
      <x v="4"/>
    </i>
    <i>
      <x v="5"/>
      <x v="4"/>
      <x/>
    </i>
    <i r="2">
      <x v="1"/>
    </i>
    <i r="2">
      <x v="2"/>
    </i>
    <i t="default" r="1">
      <x v="4"/>
    </i>
    <i t="default">
      <x v="5"/>
    </i>
    <i>
      <x v="6"/>
      <x v="4"/>
      <x/>
    </i>
    <i r="2">
      <x v="1"/>
    </i>
    <i r="2">
      <x v="2"/>
    </i>
    <i t="default" r="1">
      <x v="4"/>
    </i>
    <i t="default">
      <x v="6"/>
    </i>
    <i>
      <x v="7"/>
      <x v="4"/>
      <x/>
    </i>
    <i r="2">
      <x v="1"/>
    </i>
    <i r="2">
      <x v="2"/>
    </i>
    <i t="default" r="1">
      <x v="4"/>
    </i>
    <i t="default">
      <x v="7"/>
    </i>
    <i t="grand">
      <x/>
    </i>
  </colItems>
  <pageFields count="2">
    <pageField fld="3" hier="-1"/>
    <pageField fld="10" hier="-1"/>
  </pageFields>
  <dataFields count="1">
    <dataField name="Sum of Downtime_Rate(%)" fld="12" baseField="0" baseItem="0"/>
  </dataFields>
  <chartFormats count="135">
    <chartFormat chart="18" format="1447" series="1">
      <pivotArea type="data" outline="0" fieldPosition="0">
        <references count="2">
          <reference field="7" count="1" selected="0">
            <x v="1"/>
          </reference>
          <reference field="9" count="1" selected="0">
            <x v="4"/>
          </reference>
        </references>
      </pivotArea>
    </chartFormat>
    <chartFormat chart="18" format="1448" series="1">
      <pivotArea type="data" outline="0" fieldPosition="0">
        <references count="2">
          <reference field="7" count="1" selected="0">
            <x v="1"/>
          </reference>
          <reference field="9" count="1" selected="0">
            <x v="5"/>
          </reference>
        </references>
      </pivotArea>
    </chartFormat>
    <chartFormat chart="18" format="1611" series="1">
      <pivotArea type="data" outline="0" fieldPosition="0">
        <references count="3">
          <reference field="4294967294" count="1" selected="0">
            <x v="0"/>
          </reference>
          <reference field="7" count="1" selected="0">
            <x v="2"/>
          </reference>
          <reference field="9" count="1" selected="0">
            <x v="5"/>
          </reference>
        </references>
      </pivotArea>
    </chartFormat>
    <chartFormat chart="18" format="1612" series="1">
      <pivotArea type="data" outline="0" fieldPosition="0">
        <references count="3">
          <reference field="4294967294" count="1" selected="0">
            <x v="0"/>
          </reference>
          <reference field="7" count="1" selected="0">
            <x v="3"/>
          </reference>
          <reference field="9" count="1" selected="0">
            <x v="5"/>
          </reference>
        </references>
      </pivotArea>
    </chartFormat>
    <chartFormat chart="18" format="1613" series="1">
      <pivotArea type="data" outline="0" fieldPosition="0">
        <references count="3">
          <reference field="4294967294" count="1" selected="0">
            <x v="0"/>
          </reference>
          <reference field="7" count="1" selected="0">
            <x v="4"/>
          </reference>
          <reference field="9" count="1" selected="0">
            <x v="5"/>
          </reference>
        </references>
      </pivotArea>
    </chartFormat>
    <chartFormat chart="18" format="1614" series="1">
      <pivotArea type="data" outline="0" fieldPosition="0">
        <references count="3">
          <reference field="4294967294" count="1" selected="0">
            <x v="0"/>
          </reference>
          <reference field="7" count="1" selected="0">
            <x v="5"/>
          </reference>
          <reference field="9" count="1" selected="0">
            <x v="5"/>
          </reference>
        </references>
      </pivotArea>
    </chartFormat>
    <chartFormat chart="18" format="1615" series="1">
      <pivotArea type="data" outline="0" fieldPosition="0">
        <references count="3">
          <reference field="4294967294" count="1" selected="0">
            <x v="0"/>
          </reference>
          <reference field="7" count="1" selected="0">
            <x v="6"/>
          </reference>
          <reference field="9" count="1" selected="0">
            <x v="5"/>
          </reference>
        </references>
      </pivotArea>
    </chartFormat>
    <chartFormat chart="18" format="1616" series="1">
      <pivotArea type="data" outline="0" fieldPosition="0">
        <references count="3">
          <reference field="4294967294" count="1" selected="0">
            <x v="0"/>
          </reference>
          <reference field="7" count="1" selected="0">
            <x v="7"/>
          </reference>
          <reference field="9" count="1" selected="0">
            <x v="5"/>
          </reference>
        </references>
      </pivotArea>
    </chartFormat>
    <chartFormat chart="18" format="1617" series="1">
      <pivotArea type="data" outline="0" fieldPosition="0">
        <references count="3">
          <reference field="4294967294" count="1" selected="0">
            <x v="0"/>
          </reference>
          <reference field="7" count="1" selected="0">
            <x v="0"/>
          </reference>
          <reference field="9" count="1" selected="0">
            <x v="6"/>
          </reference>
        </references>
      </pivotArea>
    </chartFormat>
    <chartFormat chart="18" format="1618" series="1">
      <pivotArea type="data" outline="0" fieldPosition="0">
        <references count="3">
          <reference field="4294967294" count="1" selected="0">
            <x v="0"/>
          </reference>
          <reference field="7" count="1" selected="0">
            <x v="1"/>
          </reference>
          <reference field="9" count="1" selected="0">
            <x v="6"/>
          </reference>
        </references>
      </pivotArea>
    </chartFormat>
    <chartFormat chart="18" format="1619" series="1">
      <pivotArea type="data" outline="0" fieldPosition="0">
        <references count="3">
          <reference field="4294967294" count="1" selected="0">
            <x v="0"/>
          </reference>
          <reference field="7" count="1" selected="0">
            <x v="2"/>
          </reference>
          <reference field="9" count="1" selected="0">
            <x v="6"/>
          </reference>
        </references>
      </pivotArea>
    </chartFormat>
    <chartFormat chart="18" format="1620" series="1">
      <pivotArea type="data" outline="0" fieldPosition="0">
        <references count="3">
          <reference field="4294967294" count="1" selected="0">
            <x v="0"/>
          </reference>
          <reference field="7" count="1" selected="0">
            <x v="3"/>
          </reference>
          <reference field="9" count="1" selected="0">
            <x v="6"/>
          </reference>
        </references>
      </pivotArea>
    </chartFormat>
    <chartFormat chart="18" format="1621" series="1">
      <pivotArea type="data" outline="0" fieldPosition="0">
        <references count="3">
          <reference field="4294967294" count="1" selected="0">
            <x v="0"/>
          </reference>
          <reference field="7" count="1" selected="0">
            <x v="4"/>
          </reference>
          <reference field="9" count="1" selected="0">
            <x v="6"/>
          </reference>
        </references>
      </pivotArea>
    </chartFormat>
    <chartFormat chart="18" format="1622" series="1">
      <pivotArea type="data" outline="0" fieldPosition="0">
        <references count="3">
          <reference field="4294967294" count="1" selected="0">
            <x v="0"/>
          </reference>
          <reference field="7" count="1" selected="0">
            <x v="5"/>
          </reference>
          <reference field="9" count="1" selected="0">
            <x v="6"/>
          </reference>
        </references>
      </pivotArea>
    </chartFormat>
    <chartFormat chart="18" format="1623" series="1">
      <pivotArea type="data" outline="0" fieldPosition="0">
        <references count="3">
          <reference field="4294967294" count="1" selected="0">
            <x v="0"/>
          </reference>
          <reference field="7" count="1" selected="0">
            <x v="6"/>
          </reference>
          <reference field="9" count="1" selected="0">
            <x v="6"/>
          </reference>
        </references>
      </pivotArea>
    </chartFormat>
    <chartFormat chart="18" format="1624" series="1">
      <pivotArea type="data" outline="0" fieldPosition="0">
        <references count="3">
          <reference field="4294967294" count="1" selected="0">
            <x v="0"/>
          </reference>
          <reference field="7" count="1" selected="0">
            <x v="7"/>
          </reference>
          <reference field="9" count="1" selected="0">
            <x v="6"/>
          </reference>
        </references>
      </pivotArea>
    </chartFormat>
    <chartFormat chart="18" format="1625" series="1">
      <pivotArea type="data" outline="0" fieldPosition="0">
        <references count="3">
          <reference field="4294967294" count="1" selected="0">
            <x v="0"/>
          </reference>
          <reference field="7" count="1" selected="0">
            <x v="0"/>
          </reference>
          <reference field="9" count="1" selected="0">
            <x v="7"/>
          </reference>
        </references>
      </pivotArea>
    </chartFormat>
    <chartFormat chart="18" format="1626" series="1">
      <pivotArea type="data" outline="0" fieldPosition="0">
        <references count="3">
          <reference field="4294967294" count="1" selected="0">
            <x v="0"/>
          </reference>
          <reference field="7" count="1" selected="0">
            <x v="1"/>
          </reference>
          <reference field="9" count="1" selected="0">
            <x v="7"/>
          </reference>
        </references>
      </pivotArea>
    </chartFormat>
    <chartFormat chart="18" format="1627" series="1">
      <pivotArea type="data" outline="0" fieldPosition="0">
        <references count="3">
          <reference field="4294967294" count="1" selected="0">
            <x v="0"/>
          </reference>
          <reference field="7" count="1" selected="0">
            <x v="2"/>
          </reference>
          <reference field="9" count="1" selected="0">
            <x v="7"/>
          </reference>
        </references>
      </pivotArea>
    </chartFormat>
    <chartFormat chart="18" format="1628" series="1">
      <pivotArea type="data" outline="0" fieldPosition="0">
        <references count="3">
          <reference field="4294967294" count="1" selected="0">
            <x v="0"/>
          </reference>
          <reference field="7" count="1" selected="0">
            <x v="3"/>
          </reference>
          <reference field="9" count="1" selected="0">
            <x v="7"/>
          </reference>
        </references>
      </pivotArea>
    </chartFormat>
    <chartFormat chart="18" format="1629" series="1">
      <pivotArea type="data" outline="0" fieldPosition="0">
        <references count="3">
          <reference field="4294967294" count="1" selected="0">
            <x v="0"/>
          </reference>
          <reference field="7" count="1" selected="0">
            <x v="4"/>
          </reference>
          <reference field="9" count="1" selected="0">
            <x v="7"/>
          </reference>
        </references>
      </pivotArea>
    </chartFormat>
    <chartFormat chart="18" format="1630" series="1">
      <pivotArea type="data" outline="0" fieldPosition="0">
        <references count="3">
          <reference field="4294967294" count="1" selected="0">
            <x v="0"/>
          </reference>
          <reference field="7" count="1" selected="0">
            <x v="5"/>
          </reference>
          <reference field="9" count="1" selected="0">
            <x v="7"/>
          </reference>
        </references>
      </pivotArea>
    </chartFormat>
    <chartFormat chart="18" format="1631" series="1">
      <pivotArea type="data" outline="0" fieldPosition="0">
        <references count="3">
          <reference field="4294967294" count="1" selected="0">
            <x v="0"/>
          </reference>
          <reference field="7" count="1" selected="0">
            <x v="6"/>
          </reference>
          <reference field="9" count="1" selected="0">
            <x v="7"/>
          </reference>
        </references>
      </pivotArea>
    </chartFormat>
    <chartFormat chart="18" format="1632" series="1">
      <pivotArea type="data" outline="0" fieldPosition="0">
        <references count="3">
          <reference field="4294967294" count="1" selected="0">
            <x v="0"/>
          </reference>
          <reference field="7" count="1" selected="0">
            <x v="7"/>
          </reference>
          <reference field="9" count="1" selected="0">
            <x v="7"/>
          </reference>
        </references>
      </pivotArea>
    </chartFormat>
    <chartFormat chart="18" format="1633" series="1">
      <pivotArea type="data" outline="0" fieldPosition="0">
        <references count="3">
          <reference field="4294967294" count="1" selected="0">
            <x v="0"/>
          </reference>
          <reference field="7" count="1" selected="0">
            <x v="0"/>
          </reference>
          <reference field="9" count="1" selected="0">
            <x v="0"/>
          </reference>
        </references>
      </pivotArea>
    </chartFormat>
    <chartFormat chart="18" format="1634" series="1">
      <pivotArea type="data" outline="0" fieldPosition="0">
        <references count="3">
          <reference field="4294967294" count="1" selected="0">
            <x v="0"/>
          </reference>
          <reference field="7" count="1" selected="0">
            <x v="1"/>
          </reference>
          <reference field="9" count="1" selected="0">
            <x v="0"/>
          </reference>
        </references>
      </pivotArea>
    </chartFormat>
    <chartFormat chart="18" format="1635" series="1">
      <pivotArea type="data" outline="0" fieldPosition="0">
        <references count="3">
          <reference field="4294967294" count="1" selected="0">
            <x v="0"/>
          </reference>
          <reference field="7" count="1" selected="0">
            <x v="2"/>
          </reference>
          <reference field="9" count="1" selected="0">
            <x v="0"/>
          </reference>
        </references>
      </pivotArea>
    </chartFormat>
    <chartFormat chart="18" format="1636" series="1">
      <pivotArea type="data" outline="0" fieldPosition="0">
        <references count="3">
          <reference field="4294967294" count="1" selected="0">
            <x v="0"/>
          </reference>
          <reference field="7" count="1" selected="0">
            <x v="3"/>
          </reference>
          <reference field="9" count="1" selected="0">
            <x v="0"/>
          </reference>
        </references>
      </pivotArea>
    </chartFormat>
    <chartFormat chart="18" format="1637" series="1">
      <pivotArea type="data" outline="0" fieldPosition="0">
        <references count="3">
          <reference field="4294967294" count="1" selected="0">
            <x v="0"/>
          </reference>
          <reference field="7" count="1" selected="0">
            <x v="4"/>
          </reference>
          <reference field="9" count="1" selected="0">
            <x v="0"/>
          </reference>
        </references>
      </pivotArea>
    </chartFormat>
    <chartFormat chart="18" format="1638" series="1">
      <pivotArea type="data" outline="0" fieldPosition="0">
        <references count="3">
          <reference field="4294967294" count="1" selected="0">
            <x v="0"/>
          </reference>
          <reference field="7" count="1" selected="0">
            <x v="5"/>
          </reference>
          <reference field="9" count="1" selected="0">
            <x v="0"/>
          </reference>
        </references>
      </pivotArea>
    </chartFormat>
    <chartFormat chart="18" format="1639" series="1">
      <pivotArea type="data" outline="0" fieldPosition="0">
        <references count="3">
          <reference field="4294967294" count="1" selected="0">
            <x v="0"/>
          </reference>
          <reference field="7" count="1" selected="0">
            <x v="6"/>
          </reference>
          <reference field="9" count="1" selected="0">
            <x v="0"/>
          </reference>
        </references>
      </pivotArea>
    </chartFormat>
    <chartFormat chart="18" format="1640" series="1">
      <pivotArea type="data" outline="0" fieldPosition="0">
        <references count="3">
          <reference field="4294967294" count="1" selected="0">
            <x v="0"/>
          </reference>
          <reference field="7" count="1" selected="0">
            <x v="7"/>
          </reference>
          <reference field="9" count="1" selected="0">
            <x v="0"/>
          </reference>
        </references>
      </pivotArea>
    </chartFormat>
    <chartFormat chart="18" format="1641" series="1">
      <pivotArea type="data" outline="0" fieldPosition="0">
        <references count="3">
          <reference field="4294967294" count="1" selected="0">
            <x v="0"/>
          </reference>
          <reference field="7" count="1" selected="0">
            <x v="0"/>
          </reference>
          <reference field="9" count="1" selected="0">
            <x v="1"/>
          </reference>
        </references>
      </pivotArea>
    </chartFormat>
    <chartFormat chart="18" format="1642" series="1">
      <pivotArea type="data" outline="0" fieldPosition="0">
        <references count="3">
          <reference field="4294967294" count="1" selected="0">
            <x v="0"/>
          </reference>
          <reference field="7" count="1" selected="0">
            <x v="1"/>
          </reference>
          <reference field="9" count="1" selected="0">
            <x v="1"/>
          </reference>
        </references>
      </pivotArea>
    </chartFormat>
    <chartFormat chart="18" format="1643" series="1">
      <pivotArea type="data" outline="0" fieldPosition="0">
        <references count="3">
          <reference field="4294967294" count="1" selected="0">
            <x v="0"/>
          </reference>
          <reference field="7" count="1" selected="0">
            <x v="2"/>
          </reference>
          <reference field="9" count="1" selected="0">
            <x v="1"/>
          </reference>
        </references>
      </pivotArea>
    </chartFormat>
    <chartFormat chart="18" format="1644" series="1">
      <pivotArea type="data" outline="0" fieldPosition="0">
        <references count="3">
          <reference field="4294967294" count="1" selected="0">
            <x v="0"/>
          </reference>
          <reference field="7" count="1" selected="0">
            <x v="3"/>
          </reference>
          <reference field="9" count="1" selected="0">
            <x v="1"/>
          </reference>
        </references>
      </pivotArea>
    </chartFormat>
    <chartFormat chart="18" format="1645" series="1">
      <pivotArea type="data" outline="0" fieldPosition="0">
        <references count="3">
          <reference field="4294967294" count="1" selected="0">
            <x v="0"/>
          </reference>
          <reference field="7" count="1" selected="0">
            <x v="4"/>
          </reference>
          <reference field="9" count="1" selected="0">
            <x v="1"/>
          </reference>
        </references>
      </pivotArea>
    </chartFormat>
    <chartFormat chart="18" format="1646" series="1">
      <pivotArea type="data" outline="0" fieldPosition="0">
        <references count="3">
          <reference field="4294967294" count="1" selected="0">
            <x v="0"/>
          </reference>
          <reference field="7" count="1" selected="0">
            <x v="5"/>
          </reference>
          <reference field="9" count="1" selected="0">
            <x v="1"/>
          </reference>
        </references>
      </pivotArea>
    </chartFormat>
    <chartFormat chart="18" format="1647" series="1">
      <pivotArea type="data" outline="0" fieldPosition="0">
        <references count="3">
          <reference field="4294967294" count="1" selected="0">
            <x v="0"/>
          </reference>
          <reference field="7" count="1" selected="0">
            <x v="6"/>
          </reference>
          <reference field="9" count="1" selected="0">
            <x v="1"/>
          </reference>
        </references>
      </pivotArea>
    </chartFormat>
    <chartFormat chart="18" format="1648" series="1">
      <pivotArea type="data" outline="0" fieldPosition="0">
        <references count="3">
          <reference field="4294967294" count="1" selected="0">
            <x v="0"/>
          </reference>
          <reference field="7" count="1" selected="0">
            <x v="7"/>
          </reference>
          <reference field="9" count="1" selected="0">
            <x v="1"/>
          </reference>
        </references>
      </pivotArea>
    </chartFormat>
    <chartFormat chart="18" format="1649" series="1">
      <pivotArea type="data" outline="0" fieldPosition="0">
        <references count="3">
          <reference field="4294967294" count="1" selected="0">
            <x v="0"/>
          </reference>
          <reference field="7" count="1" selected="0">
            <x v="0"/>
          </reference>
          <reference field="9" count="1" selected="0">
            <x v="2"/>
          </reference>
        </references>
      </pivotArea>
    </chartFormat>
    <chartFormat chart="18" format="1650" series="1">
      <pivotArea type="data" outline="0" fieldPosition="0">
        <references count="3">
          <reference field="4294967294" count="1" selected="0">
            <x v="0"/>
          </reference>
          <reference field="7" count="1" selected="0">
            <x v="1"/>
          </reference>
          <reference field="9" count="1" selected="0">
            <x v="2"/>
          </reference>
        </references>
      </pivotArea>
    </chartFormat>
    <chartFormat chart="18" format="1651" series="1">
      <pivotArea type="data" outline="0" fieldPosition="0">
        <references count="3">
          <reference field="4294967294" count="1" selected="0">
            <x v="0"/>
          </reference>
          <reference field="7" count="1" selected="0">
            <x v="2"/>
          </reference>
          <reference field="9" count="1" selected="0">
            <x v="2"/>
          </reference>
        </references>
      </pivotArea>
    </chartFormat>
    <chartFormat chart="18" format="1652" series="1">
      <pivotArea type="data" outline="0" fieldPosition="0">
        <references count="3">
          <reference field="4294967294" count="1" selected="0">
            <x v="0"/>
          </reference>
          <reference field="7" count="1" selected="0">
            <x v="3"/>
          </reference>
          <reference field="9" count="1" selected="0">
            <x v="2"/>
          </reference>
        </references>
      </pivotArea>
    </chartFormat>
    <chartFormat chart="18" format="1653" series="1">
      <pivotArea type="data" outline="0" fieldPosition="0">
        <references count="3">
          <reference field="4294967294" count="1" selected="0">
            <x v="0"/>
          </reference>
          <reference field="7" count="1" selected="0">
            <x v="4"/>
          </reference>
          <reference field="9" count="1" selected="0">
            <x v="2"/>
          </reference>
        </references>
      </pivotArea>
    </chartFormat>
    <chartFormat chart="18" format="1654" series="1">
      <pivotArea type="data" outline="0" fieldPosition="0">
        <references count="3">
          <reference field="4294967294" count="1" selected="0">
            <x v="0"/>
          </reference>
          <reference field="7" count="1" selected="0">
            <x v="5"/>
          </reference>
          <reference field="9" count="1" selected="0">
            <x v="2"/>
          </reference>
        </references>
      </pivotArea>
    </chartFormat>
    <chartFormat chart="18" format="1655" series="1">
      <pivotArea type="data" outline="0" fieldPosition="0">
        <references count="3">
          <reference field="4294967294" count="1" selected="0">
            <x v="0"/>
          </reference>
          <reference field="7" count="1" selected="0">
            <x v="6"/>
          </reference>
          <reference field="9" count="1" selected="0">
            <x v="2"/>
          </reference>
        </references>
      </pivotArea>
    </chartFormat>
    <chartFormat chart="18" format="1656" series="1">
      <pivotArea type="data" outline="0" fieldPosition="0">
        <references count="3">
          <reference field="4294967294" count="1" selected="0">
            <x v="0"/>
          </reference>
          <reference field="7" count="1" selected="0">
            <x v="7"/>
          </reference>
          <reference field="9" count="1" selected="0">
            <x v="2"/>
          </reference>
        </references>
      </pivotArea>
    </chartFormat>
    <chartFormat chart="18" format="1657" series="1">
      <pivotArea type="data" outline="0" fieldPosition="0">
        <references count="3">
          <reference field="4294967294" count="1" selected="0">
            <x v="0"/>
          </reference>
          <reference field="7" count="1" selected="0">
            <x v="0"/>
          </reference>
          <reference field="9" count="1" selected="0">
            <x v="3"/>
          </reference>
        </references>
      </pivotArea>
    </chartFormat>
    <chartFormat chart="18" format="1658" series="1">
      <pivotArea type="data" outline="0" fieldPosition="0">
        <references count="3">
          <reference field="4294967294" count="1" selected="0">
            <x v="0"/>
          </reference>
          <reference field="7" count="1" selected="0">
            <x v="1"/>
          </reference>
          <reference field="9" count="1" selected="0">
            <x v="3"/>
          </reference>
        </references>
      </pivotArea>
    </chartFormat>
    <chartFormat chart="18" format="1659" series="1">
      <pivotArea type="data" outline="0" fieldPosition="0">
        <references count="3">
          <reference field="4294967294" count="1" selected="0">
            <x v="0"/>
          </reference>
          <reference field="7" count="1" selected="0">
            <x v="2"/>
          </reference>
          <reference field="9" count="1" selected="0">
            <x v="3"/>
          </reference>
        </references>
      </pivotArea>
    </chartFormat>
    <chartFormat chart="18" format="1660" series="1">
      <pivotArea type="data" outline="0" fieldPosition="0">
        <references count="3">
          <reference field="4294967294" count="1" selected="0">
            <x v="0"/>
          </reference>
          <reference field="7" count="1" selected="0">
            <x v="3"/>
          </reference>
          <reference field="9" count="1" selected="0">
            <x v="3"/>
          </reference>
        </references>
      </pivotArea>
    </chartFormat>
    <chartFormat chart="18" format="1661" series="1">
      <pivotArea type="data" outline="0" fieldPosition="0">
        <references count="3">
          <reference field="4294967294" count="1" selected="0">
            <x v="0"/>
          </reference>
          <reference field="7" count="1" selected="0">
            <x v="4"/>
          </reference>
          <reference field="9" count="1" selected="0">
            <x v="3"/>
          </reference>
        </references>
      </pivotArea>
    </chartFormat>
    <chartFormat chart="18" format="1662" series="1">
      <pivotArea type="data" outline="0" fieldPosition="0">
        <references count="3">
          <reference field="4294967294" count="1" selected="0">
            <x v="0"/>
          </reference>
          <reference field="7" count="1" selected="0">
            <x v="5"/>
          </reference>
          <reference field="9" count="1" selected="0">
            <x v="3"/>
          </reference>
        </references>
      </pivotArea>
    </chartFormat>
    <chartFormat chart="18" format="1663" series="1">
      <pivotArea type="data" outline="0" fieldPosition="0">
        <references count="3">
          <reference field="4294967294" count="1" selected="0">
            <x v="0"/>
          </reference>
          <reference field="7" count="1" selected="0">
            <x v="6"/>
          </reference>
          <reference field="9" count="1" selected="0">
            <x v="3"/>
          </reference>
        </references>
      </pivotArea>
    </chartFormat>
    <chartFormat chart="18" format="1664" series="1">
      <pivotArea type="data" outline="0" fieldPosition="0">
        <references count="3">
          <reference field="4294967294" count="1" selected="0">
            <x v="0"/>
          </reference>
          <reference field="7" count="1" selected="0">
            <x v="7"/>
          </reference>
          <reference field="9" count="1" selected="0">
            <x v="3"/>
          </reference>
        </references>
      </pivotArea>
    </chartFormat>
    <chartFormat chart="18" format="1665" series="1">
      <pivotArea type="data" outline="0" fieldPosition="0">
        <references count="3">
          <reference field="4294967294" count="1" selected="0">
            <x v="0"/>
          </reference>
          <reference field="7" count="1" selected="0">
            <x v="0"/>
          </reference>
          <reference field="9" count="1" selected="0">
            <x v="4"/>
          </reference>
        </references>
      </pivotArea>
    </chartFormat>
    <chartFormat chart="18" format="1666" series="1">
      <pivotArea type="data" outline="0" fieldPosition="0">
        <references count="3">
          <reference field="4294967294" count="1" selected="0">
            <x v="0"/>
          </reference>
          <reference field="7" count="1" selected="0">
            <x v="1"/>
          </reference>
          <reference field="9" count="1" selected="0">
            <x v="4"/>
          </reference>
        </references>
      </pivotArea>
    </chartFormat>
    <chartFormat chart="18" format="1667" series="1">
      <pivotArea type="data" outline="0" fieldPosition="0">
        <references count="3">
          <reference field="4294967294" count="1" selected="0">
            <x v="0"/>
          </reference>
          <reference field="7" count="1" selected="0">
            <x v="2"/>
          </reference>
          <reference field="9" count="1" selected="0">
            <x v="4"/>
          </reference>
        </references>
      </pivotArea>
    </chartFormat>
    <chartFormat chart="18" format="1668" series="1">
      <pivotArea type="data" outline="0" fieldPosition="0">
        <references count="3">
          <reference field="4294967294" count="1" selected="0">
            <x v="0"/>
          </reference>
          <reference field="7" count="1" selected="0">
            <x v="3"/>
          </reference>
          <reference field="9" count="1" selected="0">
            <x v="4"/>
          </reference>
        </references>
      </pivotArea>
    </chartFormat>
    <chartFormat chart="18" format="1669" series="1">
      <pivotArea type="data" outline="0" fieldPosition="0">
        <references count="3">
          <reference field="4294967294" count="1" selected="0">
            <x v="0"/>
          </reference>
          <reference field="7" count="1" selected="0">
            <x v="4"/>
          </reference>
          <reference field="9" count="1" selected="0">
            <x v="4"/>
          </reference>
        </references>
      </pivotArea>
    </chartFormat>
    <chartFormat chart="18" format="1670" series="1">
      <pivotArea type="data" outline="0" fieldPosition="0">
        <references count="3">
          <reference field="4294967294" count="1" selected="0">
            <x v="0"/>
          </reference>
          <reference field="7" count="1" selected="0">
            <x v="5"/>
          </reference>
          <reference field="9" count="1" selected="0">
            <x v="4"/>
          </reference>
        </references>
      </pivotArea>
    </chartFormat>
    <chartFormat chart="18" format="1671" series="1">
      <pivotArea type="data" outline="0" fieldPosition="0">
        <references count="3">
          <reference field="4294967294" count="1" selected="0">
            <x v="0"/>
          </reference>
          <reference field="7" count="1" selected="0">
            <x v="6"/>
          </reference>
          <reference field="9" count="1" selected="0">
            <x v="4"/>
          </reference>
        </references>
      </pivotArea>
    </chartFormat>
    <chartFormat chart="18" format="1672" series="1">
      <pivotArea type="data" outline="0" fieldPosition="0">
        <references count="3">
          <reference field="4294967294" count="1" selected="0">
            <x v="0"/>
          </reference>
          <reference field="7" count="1" selected="0">
            <x v="7"/>
          </reference>
          <reference field="9" count="1" selected="0">
            <x v="4"/>
          </reference>
        </references>
      </pivotArea>
    </chartFormat>
    <chartFormat chart="18" format="1673" series="1">
      <pivotArea type="data" outline="0" fieldPosition="0">
        <references count="3">
          <reference field="4294967294" count="1" selected="0">
            <x v="0"/>
          </reference>
          <reference field="7" count="1" selected="0">
            <x v="0"/>
          </reference>
          <reference field="9" count="1" selected="0">
            <x v="5"/>
          </reference>
        </references>
      </pivotArea>
    </chartFormat>
    <chartFormat chart="18" format="1674" series="1">
      <pivotArea type="data" outline="0" fieldPosition="0">
        <references count="3">
          <reference field="4294967294" count="1" selected="0">
            <x v="0"/>
          </reference>
          <reference field="7" count="1" selected="0">
            <x v="1"/>
          </reference>
          <reference field="9" count="1" selected="0">
            <x v="5"/>
          </reference>
        </references>
      </pivotArea>
    </chartFormat>
    <chartFormat chart="18" format="1675" series="1">
      <pivotArea type="data" outline="0" fieldPosition="0">
        <references count="4">
          <reference field="4294967294" count="1" selected="0">
            <x v="0"/>
          </reference>
          <reference field="7" count="1" selected="0">
            <x v="0"/>
          </reference>
          <reference field="8" count="1" selected="0">
            <x v="1"/>
          </reference>
          <reference field="9" count="1" selected="0">
            <x v="0"/>
          </reference>
        </references>
      </pivotArea>
    </chartFormat>
    <chartFormat chart="18" format="1676" series="1">
      <pivotArea type="data" outline="0" fieldPosition="0">
        <references count="4">
          <reference field="4294967294" count="1" selected="0">
            <x v="0"/>
          </reference>
          <reference field="7" count="1" selected="0">
            <x v="1"/>
          </reference>
          <reference field="8" count="1" selected="0">
            <x v="1"/>
          </reference>
          <reference field="9" count="1" selected="0">
            <x v="0"/>
          </reference>
        </references>
      </pivotArea>
    </chartFormat>
    <chartFormat chart="18" format="1677" series="1">
      <pivotArea type="data" outline="0" fieldPosition="0">
        <references count="4">
          <reference field="4294967294" count="1" selected="0">
            <x v="0"/>
          </reference>
          <reference field="7" count="1" selected="0">
            <x v="2"/>
          </reference>
          <reference field="8" count="1" selected="0">
            <x v="1"/>
          </reference>
          <reference field="9" count="1" selected="0">
            <x v="0"/>
          </reference>
        </references>
      </pivotArea>
    </chartFormat>
    <chartFormat chart="18" format="1678" series="1">
      <pivotArea type="data" outline="0" fieldPosition="0">
        <references count="4">
          <reference field="4294967294" count="1" selected="0">
            <x v="0"/>
          </reference>
          <reference field="7" count="1" selected="0">
            <x v="3"/>
          </reference>
          <reference field="8" count="1" selected="0">
            <x v="1"/>
          </reference>
          <reference field="9" count="1" selected="0">
            <x v="0"/>
          </reference>
        </references>
      </pivotArea>
    </chartFormat>
    <chartFormat chart="18" format="1679" series="1">
      <pivotArea type="data" outline="0" fieldPosition="0">
        <references count="4">
          <reference field="4294967294" count="1" selected="0">
            <x v="0"/>
          </reference>
          <reference field="7" count="1" selected="0">
            <x v="4"/>
          </reference>
          <reference field="8" count="1" selected="0">
            <x v="1"/>
          </reference>
          <reference field="9" count="1" selected="0">
            <x v="0"/>
          </reference>
        </references>
      </pivotArea>
    </chartFormat>
    <chartFormat chart="18" format="1680" series="1">
      <pivotArea type="data" outline="0" fieldPosition="0">
        <references count="4">
          <reference field="4294967294" count="1" selected="0">
            <x v="0"/>
          </reference>
          <reference field="7" count="1" selected="0">
            <x v="5"/>
          </reference>
          <reference field="8" count="1" selected="0">
            <x v="1"/>
          </reference>
          <reference field="9" count="1" selected="0">
            <x v="0"/>
          </reference>
        </references>
      </pivotArea>
    </chartFormat>
    <chartFormat chart="18" format="1681" series="1">
      <pivotArea type="data" outline="0" fieldPosition="0">
        <references count="4">
          <reference field="4294967294" count="1" selected="0">
            <x v="0"/>
          </reference>
          <reference field="7" count="1" selected="0">
            <x v="6"/>
          </reference>
          <reference field="8" count="1" selected="0">
            <x v="1"/>
          </reference>
          <reference field="9" count="1" selected="0">
            <x v="0"/>
          </reference>
        </references>
      </pivotArea>
    </chartFormat>
    <chartFormat chart="18" format="1682" series="1">
      <pivotArea type="data" outline="0" fieldPosition="0">
        <references count="4">
          <reference field="4294967294" count="1" selected="0">
            <x v="0"/>
          </reference>
          <reference field="7" count="1" selected="0">
            <x v="7"/>
          </reference>
          <reference field="8" count="1" selected="0">
            <x v="1"/>
          </reference>
          <reference field="9" count="1" selected="0">
            <x v="0"/>
          </reference>
        </references>
      </pivotArea>
    </chartFormat>
    <chartFormat chart="18" format="1683" series="1">
      <pivotArea type="data" outline="0" fieldPosition="0">
        <references count="4">
          <reference field="4294967294" count="1" selected="0">
            <x v="0"/>
          </reference>
          <reference field="7" count="1" selected="0">
            <x v="0"/>
          </reference>
          <reference field="8" count="1" selected="0">
            <x v="1"/>
          </reference>
          <reference field="9" count="1" selected="0">
            <x v="1"/>
          </reference>
        </references>
      </pivotArea>
    </chartFormat>
    <chartFormat chart="18" format="1684" series="1">
      <pivotArea type="data" outline="0" fieldPosition="0">
        <references count="4">
          <reference field="4294967294" count="1" selected="0">
            <x v="0"/>
          </reference>
          <reference field="7" count="1" selected="0">
            <x v="1"/>
          </reference>
          <reference field="8" count="1" selected="0">
            <x v="1"/>
          </reference>
          <reference field="9" count="1" selected="0">
            <x v="1"/>
          </reference>
        </references>
      </pivotArea>
    </chartFormat>
    <chartFormat chart="18" format="1685" series="1">
      <pivotArea type="data" outline="0" fieldPosition="0">
        <references count="4">
          <reference field="4294967294" count="1" selected="0">
            <x v="0"/>
          </reference>
          <reference field="7" count="1" selected="0">
            <x v="2"/>
          </reference>
          <reference field="8" count="1" selected="0">
            <x v="1"/>
          </reference>
          <reference field="9" count="1" selected="0">
            <x v="1"/>
          </reference>
        </references>
      </pivotArea>
    </chartFormat>
    <chartFormat chart="18" format="1686" series="1">
      <pivotArea type="data" outline="0" fieldPosition="0">
        <references count="4">
          <reference field="4294967294" count="1" selected="0">
            <x v="0"/>
          </reference>
          <reference field="7" count="1" selected="0">
            <x v="3"/>
          </reference>
          <reference field="8" count="1" selected="0">
            <x v="1"/>
          </reference>
          <reference field="9" count="1" selected="0">
            <x v="1"/>
          </reference>
        </references>
      </pivotArea>
    </chartFormat>
    <chartFormat chart="18" format="1687" series="1">
      <pivotArea type="data" outline="0" fieldPosition="0">
        <references count="4">
          <reference field="4294967294" count="1" selected="0">
            <x v="0"/>
          </reference>
          <reference field="7" count="1" selected="0">
            <x v="4"/>
          </reference>
          <reference field="8" count="1" selected="0">
            <x v="1"/>
          </reference>
          <reference field="9" count="1" selected="0">
            <x v="1"/>
          </reference>
        </references>
      </pivotArea>
    </chartFormat>
    <chartFormat chart="18" format="1688" series="1">
      <pivotArea type="data" outline="0" fieldPosition="0">
        <references count="4">
          <reference field="4294967294" count="1" selected="0">
            <x v="0"/>
          </reference>
          <reference field="7" count="1" selected="0">
            <x v="5"/>
          </reference>
          <reference field="8" count="1" selected="0">
            <x v="1"/>
          </reference>
          <reference field="9" count="1" selected="0">
            <x v="1"/>
          </reference>
        </references>
      </pivotArea>
    </chartFormat>
    <chartFormat chart="18" format="1689" series="1">
      <pivotArea type="data" outline="0" fieldPosition="0">
        <references count="4">
          <reference field="4294967294" count="1" selected="0">
            <x v="0"/>
          </reference>
          <reference field="7" count="1" selected="0">
            <x v="6"/>
          </reference>
          <reference field="8" count="1" selected="0">
            <x v="1"/>
          </reference>
          <reference field="9" count="1" selected="0">
            <x v="1"/>
          </reference>
        </references>
      </pivotArea>
    </chartFormat>
    <chartFormat chart="18" format="1690" series="1">
      <pivotArea type="data" outline="0" fieldPosition="0">
        <references count="4">
          <reference field="4294967294" count="1" selected="0">
            <x v="0"/>
          </reference>
          <reference field="7" count="1" selected="0">
            <x v="7"/>
          </reference>
          <reference field="8" count="1" selected="0">
            <x v="1"/>
          </reference>
          <reference field="9" count="1" selected="0">
            <x v="1"/>
          </reference>
        </references>
      </pivotArea>
    </chartFormat>
    <chartFormat chart="18" format="1691" series="1">
      <pivotArea type="data" outline="0" fieldPosition="0">
        <references count="4">
          <reference field="4294967294" count="1" selected="0">
            <x v="0"/>
          </reference>
          <reference field="7" count="1" selected="0">
            <x v="0"/>
          </reference>
          <reference field="8" count="1" selected="0">
            <x v="1"/>
          </reference>
          <reference field="9" count="1" selected="0">
            <x v="2"/>
          </reference>
        </references>
      </pivotArea>
    </chartFormat>
    <chartFormat chart="18" format="1692" series="1">
      <pivotArea type="data" outline="0" fieldPosition="0">
        <references count="4">
          <reference field="4294967294" count="1" selected="0">
            <x v="0"/>
          </reference>
          <reference field="7" count="1" selected="0">
            <x v="1"/>
          </reference>
          <reference field="8" count="1" selected="0">
            <x v="1"/>
          </reference>
          <reference field="9" count="1" selected="0">
            <x v="2"/>
          </reference>
        </references>
      </pivotArea>
    </chartFormat>
    <chartFormat chart="18" format="1693" series="1">
      <pivotArea type="data" outline="0" fieldPosition="0">
        <references count="4">
          <reference field="4294967294" count="1" selected="0">
            <x v="0"/>
          </reference>
          <reference field="7" count="1" selected="0">
            <x v="2"/>
          </reference>
          <reference field="8" count="1" selected="0">
            <x v="1"/>
          </reference>
          <reference field="9" count="1" selected="0">
            <x v="2"/>
          </reference>
        </references>
      </pivotArea>
    </chartFormat>
    <chartFormat chart="18" format="1694" series="1">
      <pivotArea type="data" outline="0" fieldPosition="0">
        <references count="4">
          <reference field="4294967294" count="1" selected="0">
            <x v="0"/>
          </reference>
          <reference field="7" count="1" selected="0">
            <x v="3"/>
          </reference>
          <reference field="8" count="1" selected="0">
            <x v="1"/>
          </reference>
          <reference field="9" count="1" selected="0">
            <x v="2"/>
          </reference>
        </references>
      </pivotArea>
    </chartFormat>
    <chartFormat chart="18" format="1695" series="1">
      <pivotArea type="data" outline="0" fieldPosition="0">
        <references count="4">
          <reference field="4294967294" count="1" selected="0">
            <x v="0"/>
          </reference>
          <reference field="7" count="1" selected="0">
            <x v="4"/>
          </reference>
          <reference field="8" count="1" selected="0">
            <x v="1"/>
          </reference>
          <reference field="9" count="1" selected="0">
            <x v="2"/>
          </reference>
        </references>
      </pivotArea>
    </chartFormat>
    <chartFormat chart="18" format="1696" series="1">
      <pivotArea type="data" outline="0" fieldPosition="0">
        <references count="4">
          <reference field="4294967294" count="1" selected="0">
            <x v="0"/>
          </reference>
          <reference field="7" count="1" selected="0">
            <x v="5"/>
          </reference>
          <reference field="8" count="1" selected="0">
            <x v="1"/>
          </reference>
          <reference field="9" count="1" selected="0">
            <x v="2"/>
          </reference>
        </references>
      </pivotArea>
    </chartFormat>
    <chartFormat chart="18" format="1697" series="1">
      <pivotArea type="data" outline="0" fieldPosition="0">
        <references count="4">
          <reference field="4294967294" count="1" selected="0">
            <x v="0"/>
          </reference>
          <reference field="7" count="1" selected="0">
            <x v="6"/>
          </reference>
          <reference field="8" count="1" selected="0">
            <x v="1"/>
          </reference>
          <reference field="9" count="1" selected="0">
            <x v="2"/>
          </reference>
        </references>
      </pivotArea>
    </chartFormat>
    <chartFormat chart="18" format="1698" series="1">
      <pivotArea type="data" outline="0" fieldPosition="0">
        <references count="4">
          <reference field="4294967294" count="1" selected="0">
            <x v="0"/>
          </reference>
          <reference field="7" count="1" selected="0">
            <x v="7"/>
          </reference>
          <reference field="8" count="1" selected="0">
            <x v="1"/>
          </reference>
          <reference field="9" count="1" selected="0">
            <x v="2"/>
          </reference>
        </references>
      </pivotArea>
    </chartFormat>
    <chartFormat chart="18" format="1699" series="1">
      <pivotArea type="data" outline="0" fieldPosition="0">
        <references count="4">
          <reference field="4294967294" count="1" selected="0">
            <x v="0"/>
          </reference>
          <reference field="7" count="1" selected="0">
            <x v="0"/>
          </reference>
          <reference field="8" count="1" selected="0">
            <x v="1"/>
          </reference>
          <reference field="9" count="1" selected="0">
            <x v="3"/>
          </reference>
        </references>
      </pivotArea>
    </chartFormat>
    <chartFormat chart="18" format="1700" series="1">
      <pivotArea type="data" outline="0" fieldPosition="0">
        <references count="4">
          <reference field="4294967294" count="1" selected="0">
            <x v="0"/>
          </reference>
          <reference field="7" count="1" selected="0">
            <x v="1"/>
          </reference>
          <reference field="8" count="1" selected="0">
            <x v="1"/>
          </reference>
          <reference field="9" count="1" selected="0">
            <x v="3"/>
          </reference>
        </references>
      </pivotArea>
    </chartFormat>
    <chartFormat chart="18" format="1701" series="1">
      <pivotArea type="data" outline="0" fieldPosition="0">
        <references count="4">
          <reference field="4294967294" count="1" selected="0">
            <x v="0"/>
          </reference>
          <reference field="7" count="1" selected="0">
            <x v="2"/>
          </reference>
          <reference field="8" count="1" selected="0">
            <x v="1"/>
          </reference>
          <reference field="9" count="1" selected="0">
            <x v="3"/>
          </reference>
        </references>
      </pivotArea>
    </chartFormat>
    <chartFormat chart="18" format="1702" series="1">
      <pivotArea type="data" outline="0" fieldPosition="0">
        <references count="4">
          <reference field="4294967294" count="1" selected="0">
            <x v="0"/>
          </reference>
          <reference field="7" count="1" selected="0">
            <x v="3"/>
          </reference>
          <reference field="8" count="1" selected="0">
            <x v="1"/>
          </reference>
          <reference field="9" count="1" selected="0">
            <x v="3"/>
          </reference>
        </references>
      </pivotArea>
    </chartFormat>
    <chartFormat chart="18" format="1703" series="1">
      <pivotArea type="data" outline="0" fieldPosition="0">
        <references count="4">
          <reference field="4294967294" count="1" selected="0">
            <x v="0"/>
          </reference>
          <reference field="7" count="1" selected="0">
            <x v="4"/>
          </reference>
          <reference field="8" count="1" selected="0">
            <x v="1"/>
          </reference>
          <reference field="9" count="1" selected="0">
            <x v="3"/>
          </reference>
        </references>
      </pivotArea>
    </chartFormat>
    <chartFormat chart="18" format="1704" series="1">
      <pivotArea type="data" outline="0" fieldPosition="0">
        <references count="4">
          <reference field="4294967294" count="1" selected="0">
            <x v="0"/>
          </reference>
          <reference field="7" count="1" selected="0">
            <x v="5"/>
          </reference>
          <reference field="8" count="1" selected="0">
            <x v="1"/>
          </reference>
          <reference field="9" count="1" selected="0">
            <x v="3"/>
          </reference>
        </references>
      </pivotArea>
    </chartFormat>
    <chartFormat chart="18" format="1705" series="1">
      <pivotArea type="data" outline="0" fieldPosition="0">
        <references count="4">
          <reference field="4294967294" count="1" selected="0">
            <x v="0"/>
          </reference>
          <reference field="7" count="1" selected="0">
            <x v="6"/>
          </reference>
          <reference field="8" count="1" selected="0">
            <x v="1"/>
          </reference>
          <reference field="9" count="1" selected="0">
            <x v="3"/>
          </reference>
        </references>
      </pivotArea>
    </chartFormat>
    <chartFormat chart="18" format="1706" series="1">
      <pivotArea type="data" outline="0" fieldPosition="0">
        <references count="4">
          <reference field="4294967294" count="1" selected="0">
            <x v="0"/>
          </reference>
          <reference field="7" count="1" selected="0">
            <x v="7"/>
          </reference>
          <reference field="8" count="1" selected="0">
            <x v="1"/>
          </reference>
          <reference field="9" count="1" selected="0">
            <x v="3"/>
          </reference>
        </references>
      </pivotArea>
    </chartFormat>
    <chartFormat chart="18" format="1707" series="1">
      <pivotArea type="data" outline="0" fieldPosition="0">
        <references count="4">
          <reference field="4294967294" count="1" selected="0">
            <x v="0"/>
          </reference>
          <reference field="7" count="1" selected="0">
            <x v="0"/>
          </reference>
          <reference field="8" count="1" selected="0">
            <x v="1"/>
          </reference>
          <reference field="9" count="1" selected="0">
            <x v="4"/>
          </reference>
        </references>
      </pivotArea>
    </chartFormat>
    <chartFormat chart="18" format="1708" series="1">
      <pivotArea type="data" outline="0" fieldPosition="0">
        <references count="4">
          <reference field="4294967294" count="1" selected="0">
            <x v="0"/>
          </reference>
          <reference field="7" count="1" selected="0">
            <x v="2"/>
          </reference>
          <reference field="8" count="1" selected="0">
            <x v="1"/>
          </reference>
          <reference field="9" count="1" selected="0">
            <x v="4"/>
          </reference>
        </references>
      </pivotArea>
    </chartFormat>
    <chartFormat chart="18" format="1709" series="1">
      <pivotArea type="data" outline="0" fieldPosition="0">
        <references count="4">
          <reference field="4294967294" count="1" selected="0">
            <x v="0"/>
          </reference>
          <reference field="7" count="1" selected="0">
            <x v="3"/>
          </reference>
          <reference field="8" count="1" selected="0">
            <x v="1"/>
          </reference>
          <reference field="9" count="1" selected="0">
            <x v="4"/>
          </reference>
        </references>
      </pivotArea>
    </chartFormat>
    <chartFormat chart="18" format="1710" series="1">
      <pivotArea type="data" outline="0" fieldPosition="0">
        <references count="4">
          <reference field="4294967294" count="1" selected="0">
            <x v="0"/>
          </reference>
          <reference field="7" count="1" selected="0">
            <x v="4"/>
          </reference>
          <reference field="8" count="1" selected="0">
            <x v="1"/>
          </reference>
          <reference field="9" count="1" selected="0">
            <x v="4"/>
          </reference>
        </references>
      </pivotArea>
    </chartFormat>
    <chartFormat chart="18" format="1711" series="1">
      <pivotArea type="data" outline="0" fieldPosition="0">
        <references count="4">
          <reference field="4294967294" count="1" selected="0">
            <x v="0"/>
          </reference>
          <reference field="7" count="1" selected="0">
            <x v="5"/>
          </reference>
          <reference field="8" count="1" selected="0">
            <x v="1"/>
          </reference>
          <reference field="9" count="1" selected="0">
            <x v="4"/>
          </reference>
        </references>
      </pivotArea>
    </chartFormat>
    <chartFormat chart="18" format="1712" series="1">
      <pivotArea type="data" outline="0" fieldPosition="0">
        <references count="4">
          <reference field="4294967294" count="1" selected="0">
            <x v="0"/>
          </reference>
          <reference field="7" count="1" selected="0">
            <x v="6"/>
          </reference>
          <reference field="8" count="1" selected="0">
            <x v="1"/>
          </reference>
          <reference field="9" count="1" selected="0">
            <x v="4"/>
          </reference>
        </references>
      </pivotArea>
    </chartFormat>
    <chartFormat chart="18" format="1713" series="1">
      <pivotArea type="data" outline="0" fieldPosition="0">
        <references count="4">
          <reference field="4294967294" count="1" selected="0">
            <x v="0"/>
          </reference>
          <reference field="7" count="1" selected="0">
            <x v="7"/>
          </reference>
          <reference field="8" count="1" selected="0">
            <x v="1"/>
          </reference>
          <reference field="9" count="1" selected="0">
            <x v="4"/>
          </reference>
        </references>
      </pivotArea>
    </chartFormat>
    <chartFormat chart="18" format="1714" series="1">
      <pivotArea type="data" outline="0" fieldPosition="0">
        <references count="4">
          <reference field="4294967294" count="1" selected="0">
            <x v="0"/>
          </reference>
          <reference field="7" count="1" selected="0">
            <x v="0"/>
          </reference>
          <reference field="8" count="1" selected="0">
            <x v="1"/>
          </reference>
          <reference field="9" count="1" selected="0">
            <x v="5"/>
          </reference>
        </references>
      </pivotArea>
    </chartFormat>
    <chartFormat chart="18" format="1715" series="1">
      <pivotArea type="data" outline="0" fieldPosition="0">
        <references count="4">
          <reference field="4294967294" count="1" selected="0">
            <x v="0"/>
          </reference>
          <reference field="7" count="1" selected="0">
            <x v="6"/>
          </reference>
          <reference field="8" count="1" selected="0">
            <x v="1"/>
          </reference>
          <reference field="9" count="1" selected="0">
            <x v="5"/>
          </reference>
        </references>
      </pivotArea>
    </chartFormat>
    <chartFormat chart="18" format="1716" series="1">
      <pivotArea type="data" outline="0" fieldPosition="0">
        <references count="4">
          <reference field="4294967294" count="1" selected="0">
            <x v="0"/>
          </reference>
          <reference field="7" count="1" selected="0">
            <x v="6"/>
          </reference>
          <reference field="8" count="1" selected="0">
            <x v="1"/>
          </reference>
          <reference field="9" count="1" selected="0">
            <x v="6"/>
          </reference>
        </references>
      </pivotArea>
    </chartFormat>
    <chartFormat chart="18" format="1717" series="1">
      <pivotArea type="data" outline="0" fieldPosition="0">
        <references count="4">
          <reference field="4294967294" count="1" selected="0">
            <x v="0"/>
          </reference>
          <reference field="7" count="1" selected="0">
            <x v="6"/>
          </reference>
          <reference field="8" count="1" selected="0">
            <x v="1"/>
          </reference>
          <reference field="9" count="1" selected="0">
            <x v="7"/>
          </reference>
        </references>
      </pivotArea>
    </chartFormat>
    <chartFormat chart="18" format="1718" series="1">
      <pivotArea type="data" outline="0" fieldPosition="0">
        <references count="1">
          <reference field="4294967294" count="1" selected="0">
            <x v="0"/>
          </reference>
        </references>
      </pivotArea>
    </chartFormat>
    <chartFormat chart="18" format="1719" series="1">
      <pivotArea type="data" outline="0" fieldPosition="0">
        <references count="4">
          <reference field="4294967294" count="1" selected="0">
            <x v="0"/>
          </reference>
          <reference field="7" count="1" selected="0">
            <x v="4"/>
          </reference>
          <reference field="8" count="1" selected="0">
            <x v="2"/>
          </reference>
          <reference field="9" count="1" selected="0">
            <x v="2"/>
          </reference>
        </references>
      </pivotArea>
    </chartFormat>
    <chartFormat chart="18" format="1720" series="1">
      <pivotArea type="data" outline="0" fieldPosition="0">
        <references count="4">
          <reference field="4294967294" count="1" selected="0">
            <x v="0"/>
          </reference>
          <reference field="7" count="1" selected="0">
            <x v="4"/>
          </reference>
          <reference field="8" count="1" selected="0">
            <x v="2"/>
          </reference>
          <reference field="9" count="1" selected="0">
            <x v="6"/>
          </reference>
        </references>
      </pivotArea>
    </chartFormat>
    <chartFormat chart="23" format="1724" series="1">
      <pivotArea type="data" outline="0" fieldPosition="0">
        <references count="4">
          <reference field="4294967294" count="1" selected="0">
            <x v="0"/>
          </reference>
          <reference field="7" count="1" selected="0">
            <x v="4"/>
          </reference>
          <reference field="8" count="1" selected="0">
            <x v="2"/>
          </reference>
          <reference field="9" count="1" selected="0">
            <x v="1"/>
          </reference>
        </references>
      </pivotArea>
    </chartFormat>
    <chartFormat chart="23" format="1725" series="1">
      <pivotArea type="data" outline="0" fieldPosition="0">
        <references count="4">
          <reference field="4294967294" count="1" selected="0">
            <x v="0"/>
          </reference>
          <reference field="7" count="1" selected="0">
            <x v="4"/>
          </reference>
          <reference field="8" count="1" selected="0">
            <x v="2"/>
          </reference>
          <reference field="9" count="1" selected="0">
            <x v="2"/>
          </reference>
        </references>
      </pivotArea>
    </chartFormat>
    <chartFormat chart="23" format="1726" series="1">
      <pivotArea type="data" outline="0" fieldPosition="0">
        <references count="4">
          <reference field="4294967294" count="1" selected="0">
            <x v="0"/>
          </reference>
          <reference field="7" count="1" selected="0">
            <x v="4"/>
          </reference>
          <reference field="8" count="1" selected="0">
            <x v="2"/>
          </reference>
          <reference field="9" count="1" selected="0">
            <x v="6"/>
          </reference>
        </references>
      </pivotArea>
    </chartFormat>
    <chartFormat chart="24" format="1721" series="1">
      <pivotArea type="data" outline="0" fieldPosition="0">
        <references count="4">
          <reference field="4294967294" count="1" selected="0">
            <x v="0"/>
          </reference>
          <reference field="7" count="1" selected="0">
            <x v="4"/>
          </reference>
          <reference field="8" count="1" selected="0">
            <x v="2"/>
          </reference>
          <reference field="9" count="1" selected="0">
            <x v="1"/>
          </reference>
        </references>
      </pivotArea>
    </chartFormat>
    <chartFormat chart="24" format="1722" series="1">
      <pivotArea type="data" outline="0" fieldPosition="0">
        <references count="4">
          <reference field="4294967294" count="1" selected="0">
            <x v="0"/>
          </reference>
          <reference field="7" count="1" selected="0">
            <x v="4"/>
          </reference>
          <reference field="8" count="1" selected="0">
            <x v="2"/>
          </reference>
          <reference field="9" count="1" selected="0">
            <x v="2"/>
          </reference>
        </references>
      </pivotArea>
    </chartFormat>
    <chartFormat chart="24" format="1723" series="1">
      <pivotArea type="data" outline="0" fieldPosition="0">
        <references count="4">
          <reference field="4294967294" count="1" selected="0">
            <x v="0"/>
          </reference>
          <reference field="7" count="1" selected="0">
            <x v="4"/>
          </reference>
          <reference field="8" count="1" selected="0">
            <x v="2"/>
          </reference>
          <reference field="9" count="1" selected="0">
            <x v="6"/>
          </reference>
        </references>
      </pivotArea>
    </chartFormat>
    <chartFormat chart="18" format="1721" series="1">
      <pivotArea type="data" outline="0" fieldPosition="0">
        <references count="4">
          <reference field="4294967294" count="1" selected="0">
            <x v="0"/>
          </reference>
          <reference field="7" count="1" selected="0">
            <x v="4"/>
          </reference>
          <reference field="8" count="1" selected="0">
            <x v="2"/>
          </reference>
          <reference field="9" count="1" selected="0">
            <x v="1"/>
          </reference>
        </references>
      </pivotArea>
    </chartFormat>
    <chartFormat chart="18" format="1722" series="1">
      <pivotArea type="data" outline="0" fieldPosition="0">
        <references count="4">
          <reference field="4294967294" count="1" selected="0">
            <x v="0"/>
          </reference>
          <reference field="7" count="1" selected="0">
            <x v="4"/>
          </reference>
          <reference field="8" count="1" selected="0">
            <x v="0"/>
          </reference>
          <reference field="9" count="1" selected="0">
            <x v="1"/>
          </reference>
        </references>
      </pivotArea>
    </chartFormat>
    <chartFormat chart="18" format="1723" series="1">
      <pivotArea type="data" outline="0" fieldPosition="0">
        <references count="4">
          <reference field="4294967294" count="1" selected="0">
            <x v="0"/>
          </reference>
          <reference field="7" count="1" selected="0">
            <x v="4"/>
          </reference>
          <reference field="8" count="1" selected="0">
            <x v="0"/>
          </reference>
          <reference field="9" count="1" selected="0">
            <x v="2"/>
          </reference>
        </references>
      </pivotArea>
    </chartFormat>
    <chartFormat chart="18" format="1724" series="1">
      <pivotArea type="data" outline="0" fieldPosition="0">
        <references count="4">
          <reference field="4294967294" count="1" selected="0">
            <x v="0"/>
          </reference>
          <reference field="7" count="1" selected="0">
            <x v="4"/>
          </reference>
          <reference field="8" count="1" selected="0">
            <x v="0"/>
          </reference>
          <reference field="9" count="1" selected="0">
            <x v="3"/>
          </reference>
        </references>
      </pivotArea>
    </chartFormat>
    <chartFormat chart="18" format="1725" series="1">
      <pivotArea type="data" outline="0" fieldPosition="0">
        <references count="4">
          <reference field="4294967294" count="1" selected="0">
            <x v="0"/>
          </reference>
          <reference field="7" count="1" selected="0">
            <x v="4"/>
          </reference>
          <reference field="8" count="1" selected="0">
            <x v="2"/>
          </reference>
          <reference field="9" count="1" selected="0">
            <x v="3"/>
          </reference>
        </references>
      </pivotArea>
    </chartFormat>
    <chartFormat chart="18" format="1726" series="1">
      <pivotArea type="data" outline="0" fieldPosition="0">
        <references count="4">
          <reference field="4294967294" count="1" selected="0">
            <x v="0"/>
          </reference>
          <reference field="7" count="1" selected="0">
            <x v="4"/>
          </reference>
          <reference field="8" count="1" selected="0">
            <x v="0"/>
          </reference>
          <reference field="9" count="1" selected="0">
            <x v="4"/>
          </reference>
        </references>
      </pivotArea>
    </chartFormat>
    <chartFormat chart="18" format="1727" series="1">
      <pivotArea type="data" outline="0" fieldPosition="0">
        <references count="4">
          <reference field="4294967294" count="1" selected="0">
            <x v="0"/>
          </reference>
          <reference field="7" count="1" selected="0">
            <x v="4"/>
          </reference>
          <reference field="8" count="1" selected="0">
            <x v="2"/>
          </reference>
          <reference field="9" count="1" selected="0">
            <x v="4"/>
          </reference>
        </references>
      </pivotArea>
    </chartFormat>
    <chartFormat chart="18" format="1728" series="1">
      <pivotArea type="data" outline="0" fieldPosition="0">
        <references count="4">
          <reference field="4294967294" count="1" selected="0">
            <x v="0"/>
          </reference>
          <reference field="7" count="1" selected="0">
            <x v="4"/>
          </reference>
          <reference field="8" count="1" selected="0">
            <x v="0"/>
          </reference>
          <reference field="9" count="1" selected="0">
            <x v="5"/>
          </reference>
        </references>
      </pivotArea>
    </chartFormat>
    <chartFormat chart="18" format="1729" series="1">
      <pivotArea type="data" outline="0" fieldPosition="0">
        <references count="4">
          <reference field="4294967294" count="1" selected="0">
            <x v="0"/>
          </reference>
          <reference field="7" count="1" selected="0">
            <x v="4"/>
          </reference>
          <reference field="8" count="1" selected="0">
            <x v="1"/>
          </reference>
          <reference field="9" count="1" selected="0">
            <x v="5"/>
          </reference>
        </references>
      </pivotArea>
    </chartFormat>
    <chartFormat chart="18" format="1730" series="1">
      <pivotArea type="data" outline="0" fieldPosition="0">
        <references count="4">
          <reference field="4294967294" count="1" selected="0">
            <x v="0"/>
          </reference>
          <reference field="7" count="1" selected="0">
            <x v="4"/>
          </reference>
          <reference field="8" count="1" selected="0">
            <x v="2"/>
          </reference>
          <reference field="9" count="1" selected="0">
            <x v="5"/>
          </reference>
        </references>
      </pivotArea>
    </chartFormat>
    <chartFormat chart="18" format="1731" series="1">
      <pivotArea type="data" outline="0" fieldPosition="0">
        <references count="4">
          <reference field="4294967294" count="1" selected="0">
            <x v="0"/>
          </reference>
          <reference field="7" count="1" selected="0">
            <x v="4"/>
          </reference>
          <reference field="8" count="1" selected="0">
            <x v="0"/>
          </reference>
          <reference field="9" count="1" selected="0">
            <x v="6"/>
          </reference>
        </references>
      </pivotArea>
    </chartFormat>
    <chartFormat chart="18" format="1732" series="1">
      <pivotArea type="data" outline="0" fieldPosition="0">
        <references count="4">
          <reference field="4294967294" count="1" selected="0">
            <x v="0"/>
          </reference>
          <reference field="7" count="1" selected="0">
            <x v="4"/>
          </reference>
          <reference field="8" count="1" selected="0">
            <x v="1"/>
          </reference>
          <reference field="9" count="1" selected="0">
            <x v="6"/>
          </reference>
        </references>
      </pivotArea>
    </chartFormat>
    <chartFormat chart="18" format="1733" series="1">
      <pivotArea type="data" outline="0" fieldPosition="0">
        <references count="4">
          <reference field="4294967294" count="1" selected="0">
            <x v="0"/>
          </reference>
          <reference field="7" count="1" selected="0">
            <x v="4"/>
          </reference>
          <reference field="8" count="1" selected="0">
            <x v="0"/>
          </reference>
          <reference field="9" count="1" selected="0">
            <x v="7"/>
          </reference>
        </references>
      </pivotArea>
    </chartFormat>
    <chartFormat chart="18" format="1734" series="1">
      <pivotArea type="data" outline="0" fieldPosition="0">
        <references count="4">
          <reference field="4294967294" count="1" selected="0">
            <x v="0"/>
          </reference>
          <reference field="7" count="1" selected="0">
            <x v="4"/>
          </reference>
          <reference field="8" count="1" selected="0">
            <x v="1"/>
          </reference>
          <reference field="9" count="1" selected="0">
            <x v="7"/>
          </reference>
        </references>
      </pivotArea>
    </chartFormat>
    <chartFormat chart="18" format="1735" series="1">
      <pivotArea type="data" outline="0" fieldPosition="0">
        <references count="4">
          <reference field="4294967294" count="1" selected="0">
            <x v="0"/>
          </reference>
          <reference field="7" count="1" selected="0">
            <x v="4"/>
          </reference>
          <reference field="8" count="1" selected="0">
            <x v="2"/>
          </reference>
          <reference field="9" count="1" selected="0">
            <x v="7"/>
          </reference>
        </references>
      </pivotArea>
    </chartFormat>
    <chartFormat chart="18" format="1736" series="1">
      <pivotArea type="data" outline="0" fieldPosition="0">
        <references count="4">
          <reference field="4294967294" count="1" selected="0">
            <x v="0"/>
          </reference>
          <reference field="7" count="1" selected="0">
            <x v="4"/>
          </reference>
          <reference field="8" count="1" selected="0">
            <x v="0"/>
          </reference>
          <reference field="9" count="1" selected="0">
            <x v="0"/>
          </reference>
        </references>
      </pivotArea>
    </chartFormat>
    <chartFormat chart="18" format="1737" series="1">
      <pivotArea type="data" outline="0" fieldPosition="0">
        <references count="4">
          <reference field="4294967294" count="1" selected="0">
            <x v="0"/>
          </reference>
          <reference field="7" count="1" selected="0">
            <x v="4"/>
          </reference>
          <reference field="8" count="1" selected="0">
            <x v="2"/>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125293-3E62-4784-86B9-3B9A206F4D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N8" firstHeaderRow="1" firstDataRow="2" firstDataCol="1"/>
  <pivotFields count="14">
    <pivotField showAll="0"/>
    <pivotField axis="axisRow" showAll="0">
      <items count="13">
        <item h="1" x="1"/>
        <item x="6"/>
        <item x="7"/>
        <item h="1" x="10"/>
        <item x="3"/>
        <item h="1" x="11"/>
        <item h="1" x="5"/>
        <item h="1" x="8"/>
        <item h="1" x="0"/>
        <item h="1" x="9"/>
        <item h="1" x="4"/>
        <item h="1" x="2"/>
        <item t="default"/>
      </items>
    </pivotField>
    <pivotField axis="axisCol" showAll="0">
      <items count="19">
        <item x="3"/>
        <item x="1"/>
        <item h="1" f="1" x="7"/>
        <item h="1" f="1" x="8"/>
        <item h="1" f="1" x="9"/>
        <item h="1" f="1" x="10"/>
        <item h="1" f="1" x="11"/>
        <item h="1" f="1" x="12"/>
        <item x="4"/>
        <item x="0"/>
        <item x="5"/>
        <item x="2"/>
        <item x="6"/>
        <item f="1" x="13"/>
        <item f="1" x="14"/>
        <item f="1" x="15"/>
        <item f="1" x="16"/>
        <item f="1" x="17"/>
        <item t="default"/>
      </items>
    </pivotField>
    <pivotField numFmtId="164"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v="1"/>
    </i>
    <i>
      <x v="2"/>
    </i>
    <i>
      <x v="4"/>
    </i>
    <i t="grand">
      <x/>
    </i>
  </rowItems>
  <colFields count="1">
    <field x="2"/>
  </colFields>
  <colItems count="13">
    <i>
      <x/>
    </i>
    <i>
      <x v="1"/>
    </i>
    <i>
      <x v="8"/>
    </i>
    <i>
      <x v="9"/>
    </i>
    <i>
      <x v="10"/>
    </i>
    <i>
      <x v="11"/>
    </i>
    <i>
      <x v="12"/>
    </i>
    <i>
      <x v="13"/>
    </i>
    <i>
      <x v="14"/>
    </i>
    <i>
      <x v="15"/>
    </i>
    <i>
      <x v="16"/>
    </i>
    <i>
      <x v="17"/>
    </i>
    <i t="grand">
      <x/>
    </i>
  </colItems>
  <dataFields count="1">
    <dataField name="Sum of Efficiency_Gap" fld="13" baseField="0" baseItem="0"/>
  </dataFields>
  <chartFormats count="6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3">
          <reference field="4294967294" count="1" selected="0">
            <x v="0"/>
          </reference>
          <reference field="1" count="1" selected="0">
            <x v="0"/>
          </reference>
          <reference field="2" count="1" selected="0">
            <x v="10"/>
          </reference>
        </references>
      </pivotArea>
    </chartFormat>
    <chartFormat chart="0" format="13" series="1">
      <pivotArea type="data" outline="0" fieldPosition="0">
        <references count="3">
          <reference field="4294967294" count="1" selected="0">
            <x v="0"/>
          </reference>
          <reference field="1" count="1" selected="0">
            <x v="0"/>
          </reference>
          <reference field="2" count="1" selected="0">
            <x v="11"/>
          </reference>
        </references>
      </pivotArea>
    </chartFormat>
    <chartFormat chart="0" format="14" series="1">
      <pivotArea type="data" outline="0" fieldPosition="0">
        <references count="3">
          <reference field="4294967294" count="1" selected="0">
            <x v="0"/>
          </reference>
          <reference field="1" count="1" selected="0">
            <x v="0"/>
          </reference>
          <reference field="2" count="1" selected="0">
            <x v="12"/>
          </reference>
        </references>
      </pivotArea>
    </chartFormat>
    <chartFormat chart="0" format="15"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16"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17" series="1">
      <pivotArea type="data" outline="0" fieldPosition="0">
        <references count="3">
          <reference field="4294967294" count="1" selected="0">
            <x v="0"/>
          </reference>
          <reference field="1" count="1" selected="0">
            <x v="1"/>
          </reference>
          <reference field="2" count="1" selected="0">
            <x v="8"/>
          </reference>
        </references>
      </pivotArea>
    </chartFormat>
    <chartFormat chart="0" format="18" series="1">
      <pivotArea type="data" outline="0" fieldPosition="0">
        <references count="3">
          <reference field="4294967294" count="1" selected="0">
            <x v="0"/>
          </reference>
          <reference field="1" count="1" selected="0">
            <x v="1"/>
          </reference>
          <reference field="2" count="1" selected="0">
            <x v="9"/>
          </reference>
        </references>
      </pivotArea>
    </chartFormat>
    <chartFormat chart="0" format="19" series="1">
      <pivotArea type="data" outline="0" fieldPosition="0">
        <references count="3">
          <reference field="4294967294" count="1" selected="0">
            <x v="0"/>
          </reference>
          <reference field="1" count="1" selected="0">
            <x v="1"/>
          </reference>
          <reference field="2" count="1" selected="0">
            <x v="10"/>
          </reference>
        </references>
      </pivotArea>
    </chartFormat>
    <chartFormat chart="0" format="20" series="1">
      <pivotArea type="data" outline="0" fieldPosition="0">
        <references count="3">
          <reference field="4294967294" count="1" selected="0">
            <x v="0"/>
          </reference>
          <reference field="1" count="1" selected="0">
            <x v="1"/>
          </reference>
          <reference field="2" count="1" selected="0">
            <x v="11"/>
          </reference>
        </references>
      </pivotArea>
    </chartFormat>
    <chartFormat chart="0" format="21" series="1">
      <pivotArea type="data" outline="0" fieldPosition="0">
        <references count="3">
          <reference field="4294967294" count="1" selected="0">
            <x v="0"/>
          </reference>
          <reference field="1" count="1" selected="0">
            <x v="1"/>
          </reference>
          <reference field="2" count="1" selected="0">
            <x v="12"/>
          </reference>
        </references>
      </pivotArea>
    </chartFormat>
    <chartFormat chart="0" format="22"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23"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24" series="1">
      <pivotArea type="data" outline="0" fieldPosition="0">
        <references count="3">
          <reference field="4294967294" count="1" selected="0">
            <x v="0"/>
          </reference>
          <reference field="1" count="1" selected="0">
            <x v="2"/>
          </reference>
          <reference field="2" count="1" selected="0">
            <x v="8"/>
          </reference>
        </references>
      </pivotArea>
    </chartFormat>
    <chartFormat chart="0" format="25" series="1">
      <pivotArea type="data" outline="0" fieldPosition="0">
        <references count="3">
          <reference field="4294967294" count="1" selected="0">
            <x v="0"/>
          </reference>
          <reference field="1" count="1" selected="0">
            <x v="2"/>
          </reference>
          <reference field="2" count="1" selected="0">
            <x v="9"/>
          </reference>
        </references>
      </pivotArea>
    </chartFormat>
    <chartFormat chart="0" format="26" series="1">
      <pivotArea type="data" outline="0" fieldPosition="0">
        <references count="3">
          <reference field="4294967294" count="1" selected="0">
            <x v="0"/>
          </reference>
          <reference field="1" count="1" selected="0">
            <x v="2"/>
          </reference>
          <reference field="2" count="1" selected="0">
            <x v="10"/>
          </reference>
        </references>
      </pivotArea>
    </chartFormat>
    <chartFormat chart="0" format="27" series="1">
      <pivotArea type="data" outline="0" fieldPosition="0">
        <references count="3">
          <reference field="4294967294" count="1" selected="0">
            <x v="0"/>
          </reference>
          <reference field="1" count="1" selected="0">
            <x v="2"/>
          </reference>
          <reference field="2" count="1" selected="0">
            <x v="11"/>
          </reference>
        </references>
      </pivotArea>
    </chartFormat>
    <chartFormat chart="0" format="28" series="1">
      <pivotArea type="data" outline="0" fieldPosition="0">
        <references count="3">
          <reference field="4294967294" count="1" selected="0">
            <x v="0"/>
          </reference>
          <reference field="1" count="1" selected="0">
            <x v="2"/>
          </reference>
          <reference field="2" count="1" selected="0">
            <x v="12"/>
          </reference>
        </references>
      </pivotArea>
    </chartFormat>
    <chartFormat chart="0" format="29" series="1">
      <pivotArea type="data" outline="0" fieldPosition="0">
        <references count="3">
          <reference field="4294967294" count="1" selected="0">
            <x v="0"/>
          </reference>
          <reference field="1" count="1" selected="0">
            <x v="3"/>
          </reference>
          <reference field="2" count="1" selected="0">
            <x v="0"/>
          </reference>
        </references>
      </pivotArea>
    </chartFormat>
    <chartFormat chart="0" format="30"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31" series="1">
      <pivotArea type="data" outline="0" fieldPosition="0">
        <references count="3">
          <reference field="4294967294" count="1" selected="0">
            <x v="0"/>
          </reference>
          <reference field="1" count="1" selected="0">
            <x v="3"/>
          </reference>
          <reference field="2" count="1" selected="0">
            <x v="8"/>
          </reference>
        </references>
      </pivotArea>
    </chartFormat>
    <chartFormat chart="0" format="32" series="1">
      <pivotArea type="data" outline="0" fieldPosition="0">
        <references count="3">
          <reference field="4294967294" count="1" selected="0">
            <x v="0"/>
          </reference>
          <reference field="1" count="1" selected="0">
            <x v="3"/>
          </reference>
          <reference field="2" count="1" selected="0">
            <x v="10"/>
          </reference>
        </references>
      </pivotArea>
    </chartFormat>
    <chartFormat chart="0" format="33" series="1">
      <pivotArea type="data" outline="0" fieldPosition="0">
        <references count="3">
          <reference field="4294967294" count="1" selected="0">
            <x v="0"/>
          </reference>
          <reference field="1" count="1" selected="0">
            <x v="3"/>
          </reference>
          <reference field="2" count="1" selected="0">
            <x v="11"/>
          </reference>
        </references>
      </pivotArea>
    </chartFormat>
    <chartFormat chart="0" format="34" series="1">
      <pivotArea type="data" outline="0" fieldPosition="0">
        <references count="3">
          <reference field="4294967294" count="1" selected="0">
            <x v="0"/>
          </reference>
          <reference field="1" count="1" selected="0">
            <x v="3"/>
          </reference>
          <reference field="2" count="1" selected="0">
            <x v="12"/>
          </reference>
        </references>
      </pivotArea>
    </chartFormat>
    <chartFormat chart="0" format="35" series="1">
      <pivotArea type="data" outline="0" fieldPosition="0">
        <references count="2">
          <reference field="4294967294" count="1" selected="0">
            <x v="0"/>
          </reference>
          <reference field="2" count="1" selected="0">
            <x v="0"/>
          </reference>
        </references>
      </pivotArea>
    </chartFormat>
    <chartFormat chart="0" format="36" series="1">
      <pivotArea type="data" outline="0" fieldPosition="0">
        <references count="2">
          <reference field="4294967294" count="1" selected="0">
            <x v="0"/>
          </reference>
          <reference field="2" count="1" selected="0">
            <x v="1"/>
          </reference>
        </references>
      </pivotArea>
    </chartFormat>
    <chartFormat chart="0" format="37" series="1">
      <pivotArea type="data" outline="0" fieldPosition="0">
        <references count="2">
          <reference field="4294967294" count="1" selected="0">
            <x v="0"/>
          </reference>
          <reference field="2" count="1" selected="0">
            <x v="8"/>
          </reference>
        </references>
      </pivotArea>
    </chartFormat>
    <chartFormat chart="0" format="38" series="1">
      <pivotArea type="data" outline="0" fieldPosition="0">
        <references count="2">
          <reference field="4294967294" count="1" selected="0">
            <x v="0"/>
          </reference>
          <reference field="2" count="1" selected="0">
            <x v="9"/>
          </reference>
        </references>
      </pivotArea>
    </chartFormat>
    <chartFormat chart="0" format="39" series="1">
      <pivotArea type="data" outline="0" fieldPosition="0">
        <references count="2">
          <reference field="4294967294" count="1" selected="0">
            <x v="0"/>
          </reference>
          <reference field="2" count="1" selected="0">
            <x v="10"/>
          </reference>
        </references>
      </pivotArea>
    </chartFormat>
    <chartFormat chart="0" format="40" series="1">
      <pivotArea type="data" outline="0" fieldPosition="0">
        <references count="2">
          <reference field="4294967294" count="1" selected="0">
            <x v="0"/>
          </reference>
          <reference field="2" count="1" selected="0">
            <x v="11"/>
          </reference>
        </references>
      </pivotArea>
    </chartFormat>
    <chartFormat chart="0" format="41" series="1">
      <pivotArea type="data" outline="0" fieldPosition="0">
        <references count="2">
          <reference field="4294967294" count="1" selected="0">
            <x v="0"/>
          </reference>
          <reference field="2" count="1" selected="0">
            <x v="12"/>
          </reference>
        </references>
      </pivotArea>
    </chartFormat>
    <chartFormat chart="0" format="42">
      <pivotArea type="data" outline="0" fieldPosition="0">
        <references count="3">
          <reference field="4294967294" count="1" selected="0">
            <x v="0"/>
          </reference>
          <reference field="1" count="1" selected="0">
            <x v="1"/>
          </reference>
          <reference field="2" count="1" selected="0">
            <x v="0"/>
          </reference>
        </references>
      </pivotArea>
    </chartFormat>
    <chartFormat chart="0" format="43">
      <pivotArea type="data" outline="0" fieldPosition="0">
        <references count="3">
          <reference field="4294967294" count="1" selected="0">
            <x v="0"/>
          </reference>
          <reference field="1" count="1" selected="0">
            <x v="2"/>
          </reference>
          <reference field="2" count="1" selected="0">
            <x v="0"/>
          </reference>
        </references>
      </pivotArea>
    </chartFormat>
    <chartFormat chart="0" format="44">
      <pivotArea type="data" outline="0" fieldPosition="0">
        <references count="3">
          <reference field="4294967294" count="1" selected="0">
            <x v="0"/>
          </reference>
          <reference field="1" count="1" selected="0">
            <x v="4"/>
          </reference>
          <reference field="2" count="1" selected="0">
            <x v="0"/>
          </reference>
        </references>
      </pivotArea>
    </chartFormat>
    <chartFormat chart="0" format="45">
      <pivotArea type="data" outline="0" fieldPosition="0">
        <references count="3">
          <reference field="4294967294" count="1" selected="0">
            <x v="0"/>
          </reference>
          <reference field="1" count="1" selected="0">
            <x v="1"/>
          </reference>
          <reference field="2" count="1" selected="0">
            <x v="1"/>
          </reference>
        </references>
      </pivotArea>
    </chartFormat>
    <chartFormat chart="0" format="46">
      <pivotArea type="data" outline="0" fieldPosition="0">
        <references count="3">
          <reference field="4294967294" count="1" selected="0">
            <x v="0"/>
          </reference>
          <reference field="1" count="1" selected="0">
            <x v="2"/>
          </reference>
          <reference field="2" count="1" selected="0">
            <x v="1"/>
          </reference>
        </references>
      </pivotArea>
    </chartFormat>
    <chartFormat chart="0" format="47">
      <pivotArea type="data" outline="0" fieldPosition="0">
        <references count="3">
          <reference field="4294967294" count="1" selected="0">
            <x v="0"/>
          </reference>
          <reference field="1" count="1" selected="0">
            <x v="4"/>
          </reference>
          <reference field="2" count="1" selected="0">
            <x v="1"/>
          </reference>
        </references>
      </pivotArea>
    </chartFormat>
    <chartFormat chart="0" format="48">
      <pivotArea type="data" outline="0" fieldPosition="0">
        <references count="3">
          <reference field="4294967294" count="1" selected="0">
            <x v="0"/>
          </reference>
          <reference field="1" count="1" selected="0">
            <x v="1"/>
          </reference>
          <reference field="2" count="1" selected="0">
            <x v="8"/>
          </reference>
        </references>
      </pivotArea>
    </chartFormat>
    <chartFormat chart="0" format="49">
      <pivotArea type="data" outline="0" fieldPosition="0">
        <references count="3">
          <reference field="4294967294" count="1" selected="0">
            <x v="0"/>
          </reference>
          <reference field="1" count="1" selected="0">
            <x v="2"/>
          </reference>
          <reference field="2" count="1" selected="0">
            <x v="8"/>
          </reference>
        </references>
      </pivotArea>
    </chartFormat>
    <chartFormat chart="0" format="50">
      <pivotArea type="data" outline="0" fieldPosition="0">
        <references count="3">
          <reference field="4294967294" count="1" selected="0">
            <x v="0"/>
          </reference>
          <reference field="1" count="1" selected="0">
            <x v="4"/>
          </reference>
          <reference field="2" count="1" selected="0">
            <x v="8"/>
          </reference>
        </references>
      </pivotArea>
    </chartFormat>
    <chartFormat chart="0" format="51">
      <pivotArea type="data" outline="0" fieldPosition="0">
        <references count="3">
          <reference field="4294967294" count="1" selected="0">
            <x v="0"/>
          </reference>
          <reference field="1" count="1" selected="0">
            <x v="1"/>
          </reference>
          <reference field="2" count="1" selected="0">
            <x v="9"/>
          </reference>
        </references>
      </pivotArea>
    </chartFormat>
    <chartFormat chart="0" format="52">
      <pivotArea type="data" outline="0" fieldPosition="0">
        <references count="3">
          <reference field="4294967294" count="1" selected="0">
            <x v="0"/>
          </reference>
          <reference field="1" count="1" selected="0">
            <x v="2"/>
          </reference>
          <reference field="2" count="1" selected="0">
            <x v="9"/>
          </reference>
        </references>
      </pivotArea>
    </chartFormat>
    <chartFormat chart="0" format="53">
      <pivotArea type="data" outline="0" fieldPosition="0">
        <references count="3">
          <reference field="4294967294" count="1" selected="0">
            <x v="0"/>
          </reference>
          <reference field="1" count="1" selected="0">
            <x v="4"/>
          </reference>
          <reference field="2" count="1" selected="0">
            <x v="9"/>
          </reference>
        </references>
      </pivotArea>
    </chartFormat>
    <chartFormat chart="0" format="54">
      <pivotArea type="data" outline="0" fieldPosition="0">
        <references count="3">
          <reference field="4294967294" count="1" selected="0">
            <x v="0"/>
          </reference>
          <reference field="1" count="1" selected="0">
            <x v="1"/>
          </reference>
          <reference field="2" count="1" selected="0">
            <x v="10"/>
          </reference>
        </references>
      </pivotArea>
    </chartFormat>
    <chartFormat chart="0" format="55">
      <pivotArea type="data" outline="0" fieldPosition="0">
        <references count="3">
          <reference field="4294967294" count="1" selected="0">
            <x v="0"/>
          </reference>
          <reference field="1" count="1" selected="0">
            <x v="2"/>
          </reference>
          <reference field="2" count="1" selected="0">
            <x v="10"/>
          </reference>
        </references>
      </pivotArea>
    </chartFormat>
    <chartFormat chart="0" format="56">
      <pivotArea type="data" outline="0" fieldPosition="0">
        <references count="3">
          <reference field="4294967294" count="1" selected="0">
            <x v="0"/>
          </reference>
          <reference field="1" count="1" selected="0">
            <x v="4"/>
          </reference>
          <reference field="2" count="1" selected="0">
            <x v="10"/>
          </reference>
        </references>
      </pivotArea>
    </chartFormat>
    <chartFormat chart="0" format="57">
      <pivotArea type="data" outline="0" fieldPosition="0">
        <references count="3">
          <reference field="4294967294" count="1" selected="0">
            <x v="0"/>
          </reference>
          <reference field="1" count="1" selected="0">
            <x v="1"/>
          </reference>
          <reference field="2" count="1" selected="0">
            <x v="11"/>
          </reference>
        </references>
      </pivotArea>
    </chartFormat>
    <chartFormat chart="0" format="58">
      <pivotArea type="data" outline="0" fieldPosition="0">
        <references count="3">
          <reference field="4294967294" count="1" selected="0">
            <x v="0"/>
          </reference>
          <reference field="1" count="1" selected="0">
            <x v="2"/>
          </reference>
          <reference field="2" count="1" selected="0">
            <x v="11"/>
          </reference>
        </references>
      </pivotArea>
    </chartFormat>
    <chartFormat chart="0" format="59">
      <pivotArea type="data" outline="0" fieldPosition="0">
        <references count="3">
          <reference field="4294967294" count="1" selected="0">
            <x v="0"/>
          </reference>
          <reference field="1" count="1" selected="0">
            <x v="4"/>
          </reference>
          <reference field="2" count="1" selected="0">
            <x v="11"/>
          </reference>
        </references>
      </pivotArea>
    </chartFormat>
    <chartFormat chart="0" format="60">
      <pivotArea type="data" outline="0" fieldPosition="0">
        <references count="3">
          <reference field="4294967294" count="1" selected="0">
            <x v="0"/>
          </reference>
          <reference field="1" count="1" selected="0">
            <x v="1"/>
          </reference>
          <reference field="2" count="1" selected="0">
            <x v="12"/>
          </reference>
        </references>
      </pivotArea>
    </chartFormat>
    <chartFormat chart="0" format="61">
      <pivotArea type="data" outline="0" fieldPosition="0">
        <references count="3">
          <reference field="4294967294" count="1" selected="0">
            <x v="0"/>
          </reference>
          <reference field="1" count="1" selected="0">
            <x v="2"/>
          </reference>
          <reference field="2" count="1" selected="0">
            <x v="12"/>
          </reference>
        </references>
      </pivotArea>
    </chartFormat>
    <chartFormat chart="0" format="62">
      <pivotArea type="data" outline="0" fieldPosition="0">
        <references count="3">
          <reference field="4294967294" count="1" selected="0">
            <x v="0"/>
          </reference>
          <reference field="1" count="1" selected="0">
            <x v="4"/>
          </reference>
          <reference field="2" count="1" selected="0">
            <x v="12"/>
          </reference>
        </references>
      </pivotArea>
    </chartFormat>
    <chartFormat chart="0" format="63" series="1">
      <pivotArea type="data" outline="0" fieldPosition="0">
        <references count="2">
          <reference field="4294967294" count="1" selected="0">
            <x v="0"/>
          </reference>
          <reference field="2" count="1" selected="0">
            <x v="13"/>
          </reference>
        </references>
      </pivotArea>
    </chartFormat>
    <chartFormat chart="0" format="64" series="1">
      <pivotArea type="data" outline="0" fieldPosition="0">
        <references count="2">
          <reference field="4294967294" count="1" selected="0">
            <x v="0"/>
          </reference>
          <reference field="2" count="1" selected="0">
            <x v="14"/>
          </reference>
        </references>
      </pivotArea>
    </chartFormat>
    <chartFormat chart="0" format="65" series="1">
      <pivotArea type="data" outline="0" fieldPosition="0">
        <references count="2">
          <reference field="4294967294" count="1" selected="0">
            <x v="0"/>
          </reference>
          <reference field="2" count="1" selected="0">
            <x v="15"/>
          </reference>
        </references>
      </pivotArea>
    </chartFormat>
    <chartFormat chart="0" format="66" series="1">
      <pivotArea type="data" outline="0" fieldPosition="0">
        <references count="2">
          <reference field="4294967294" count="1" selected="0">
            <x v="0"/>
          </reference>
          <reference field="2" count="1" selected="0">
            <x v="16"/>
          </reference>
        </references>
      </pivotArea>
    </chartFormat>
    <chartFormat chart="0" format="67" series="1">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B4957-52DD-4640-AC0C-963C308040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N24" firstHeaderRow="1" firstDataRow="3" firstDataCol="1" rowPageCount="1" colPageCount="1"/>
  <pivotFields count="14">
    <pivotField showAll="0"/>
    <pivotField axis="axisCol" showAll="0">
      <items count="13">
        <item x="1"/>
        <item x="6"/>
        <item x="7"/>
        <item x="10"/>
        <item x="3"/>
        <item x="11"/>
        <item x="5"/>
        <item x="8"/>
        <item x="0"/>
        <item x="9"/>
        <item x="4"/>
        <item x="2"/>
        <item t="default"/>
      </items>
    </pivotField>
    <pivotField axis="axisRow" showAll="0">
      <items count="19">
        <item x="3"/>
        <item x="1"/>
        <item f="1" x="7"/>
        <item f="1" x="8"/>
        <item f="1" x="9"/>
        <item f="1" x="10"/>
        <item f="1" x="11"/>
        <item f="1" x="12"/>
        <item x="4"/>
        <item x="0"/>
        <item x="5"/>
        <item x="2"/>
        <item x="6"/>
        <item f="1" x="13"/>
        <item f="1" x="14"/>
        <item f="1" x="15"/>
        <item f="1" x="16"/>
        <item f="1" x="17"/>
        <item t="default"/>
      </items>
    </pivotField>
    <pivotField numFmtId="164" showAll="0"/>
    <pivotField showAll="0"/>
    <pivotField showAll="0"/>
    <pivotField showAll="0"/>
    <pivotField axis="axisPage" showAll="0">
      <items count="9">
        <item x="6"/>
        <item x="3"/>
        <item x="1"/>
        <item x="2"/>
        <item x="4"/>
        <item x="7"/>
        <item x="0"/>
        <item x="5"/>
        <item t="default"/>
      </items>
    </pivotField>
    <pivotField showAll="0"/>
    <pivotField showAll="0"/>
    <pivotField showAll="0"/>
    <pivotField dataField="1" showAll="0"/>
    <pivotField dataField="1" showAll="0"/>
    <pivotField dataField="1" showAll="0"/>
  </pivotFields>
  <rowFields count="1">
    <field x="2"/>
  </rowFields>
  <rowItems count="19">
    <i>
      <x/>
    </i>
    <i>
      <x v="1"/>
    </i>
    <i>
      <x v="2"/>
    </i>
    <i>
      <x v="3"/>
    </i>
    <i>
      <x v="4"/>
    </i>
    <i>
      <x v="5"/>
    </i>
    <i>
      <x v="6"/>
    </i>
    <i>
      <x v="7"/>
    </i>
    <i>
      <x v="8"/>
    </i>
    <i>
      <x v="9"/>
    </i>
    <i>
      <x v="10"/>
    </i>
    <i>
      <x v="11"/>
    </i>
    <i>
      <x v="12"/>
    </i>
    <i>
      <x v="13"/>
    </i>
    <i>
      <x v="14"/>
    </i>
    <i>
      <x v="15"/>
    </i>
    <i>
      <x v="16"/>
    </i>
    <i>
      <x v="17"/>
    </i>
    <i t="grand">
      <x/>
    </i>
  </rowItems>
  <colFields count="2">
    <field x="-2"/>
    <field x="1"/>
  </colFields>
  <colItems count="39">
    <i>
      <x/>
      <x/>
    </i>
    <i r="1">
      <x v="1"/>
    </i>
    <i r="1">
      <x v="2"/>
    </i>
    <i r="1">
      <x v="3"/>
    </i>
    <i r="1">
      <x v="4"/>
    </i>
    <i r="1">
      <x v="5"/>
    </i>
    <i r="1">
      <x v="6"/>
    </i>
    <i r="1">
      <x v="7"/>
    </i>
    <i r="1">
      <x v="8"/>
    </i>
    <i r="1">
      <x v="9"/>
    </i>
    <i r="1">
      <x v="10"/>
    </i>
    <i r="1">
      <x v="11"/>
    </i>
    <i i="1">
      <x v="1"/>
      <x/>
    </i>
    <i r="1" i="1">
      <x v="1"/>
    </i>
    <i r="1" i="1">
      <x v="2"/>
    </i>
    <i r="1" i="1">
      <x v="3"/>
    </i>
    <i r="1" i="1">
      <x v="4"/>
    </i>
    <i r="1" i="1">
      <x v="5"/>
    </i>
    <i r="1" i="1">
      <x v="6"/>
    </i>
    <i r="1" i="1">
      <x v="7"/>
    </i>
    <i r="1" i="1">
      <x v="8"/>
    </i>
    <i r="1" i="1">
      <x v="9"/>
    </i>
    <i r="1" i="1">
      <x v="10"/>
    </i>
    <i r="1" i="1">
      <x v="11"/>
    </i>
    <i i="2">
      <x v="2"/>
      <x/>
    </i>
    <i r="1" i="2">
      <x v="1"/>
    </i>
    <i r="1" i="2">
      <x v="2"/>
    </i>
    <i r="1" i="2">
      <x v="3"/>
    </i>
    <i r="1" i="2">
      <x v="4"/>
    </i>
    <i r="1" i="2">
      <x v="5"/>
    </i>
    <i r="1" i="2">
      <x v="6"/>
    </i>
    <i r="1" i="2">
      <x v="7"/>
    </i>
    <i r="1" i="2">
      <x v="8"/>
    </i>
    <i r="1" i="2">
      <x v="9"/>
    </i>
    <i r="1" i="2">
      <x v="10"/>
    </i>
    <i r="1" i="2">
      <x v="11"/>
    </i>
    <i t="grand">
      <x/>
    </i>
    <i t="grand" i="1">
      <x/>
    </i>
    <i t="grand" i="2">
      <x/>
    </i>
  </colItems>
  <pageFields count="1">
    <pageField fld="7" hier="-1"/>
  </pageFields>
  <dataFields count="3">
    <dataField name="Sum of Utilization_Rate(%)" fld="11" baseField="0" baseItem="0"/>
    <dataField name="Sum of Downtime_Rate(%)" fld="12" baseField="0" baseItem="0"/>
    <dataField name="Sum of Efficiency_Gap" fld="13" baseField="0" baseItem="0"/>
  </dataFields>
  <chartFormats count="3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1"/>
          </reference>
          <reference field="1" count="1" selected="0">
            <x v="0"/>
          </reference>
        </references>
      </pivotArea>
    </chartFormat>
    <chartFormat chart="0" format="13" series="1">
      <pivotArea type="data" outline="0" fieldPosition="0">
        <references count="2">
          <reference field="4294967294" count="1" selected="0">
            <x v="1"/>
          </reference>
          <reference field="1" count="1" selected="0">
            <x v="1"/>
          </reference>
        </references>
      </pivotArea>
    </chartFormat>
    <chartFormat chart="0" format="14" series="1">
      <pivotArea type="data" outline="0" fieldPosition="0">
        <references count="2">
          <reference field="4294967294" count="1" selected="0">
            <x v="1"/>
          </reference>
          <reference field="1" count="1" selected="0">
            <x v="2"/>
          </reference>
        </references>
      </pivotArea>
    </chartFormat>
    <chartFormat chart="0" format="15" series="1">
      <pivotArea type="data" outline="0" fieldPosition="0">
        <references count="2">
          <reference field="4294967294" count="1" selected="0">
            <x v="1"/>
          </reference>
          <reference field="1" count="1" selected="0">
            <x v="3"/>
          </reference>
        </references>
      </pivotArea>
    </chartFormat>
    <chartFormat chart="0" format="16" series="1">
      <pivotArea type="data" outline="0" fieldPosition="0">
        <references count="2">
          <reference field="4294967294" count="1" selected="0">
            <x v="1"/>
          </reference>
          <reference field="1" count="1" selected="0">
            <x v="4"/>
          </reference>
        </references>
      </pivotArea>
    </chartFormat>
    <chartFormat chart="0" format="17" series="1">
      <pivotArea type="data" outline="0" fieldPosition="0">
        <references count="2">
          <reference field="4294967294" count="1" selected="0">
            <x v="1"/>
          </reference>
          <reference field="1" count="1" selected="0">
            <x v="5"/>
          </reference>
        </references>
      </pivotArea>
    </chartFormat>
    <chartFormat chart="0" format="18" series="1">
      <pivotArea type="data" outline="0" fieldPosition="0">
        <references count="2">
          <reference field="4294967294" count="1" selected="0">
            <x v="1"/>
          </reference>
          <reference field="1" count="1" selected="0">
            <x v="6"/>
          </reference>
        </references>
      </pivotArea>
    </chartFormat>
    <chartFormat chart="0" format="19" series="1">
      <pivotArea type="data" outline="0" fieldPosition="0">
        <references count="2">
          <reference field="4294967294" count="1" selected="0">
            <x v="1"/>
          </reference>
          <reference field="1" count="1" selected="0">
            <x v="7"/>
          </reference>
        </references>
      </pivotArea>
    </chartFormat>
    <chartFormat chart="0" format="20" series="1">
      <pivotArea type="data" outline="0" fieldPosition="0">
        <references count="2">
          <reference field="4294967294" count="1" selected="0">
            <x v="1"/>
          </reference>
          <reference field="1" count="1" selected="0">
            <x v="8"/>
          </reference>
        </references>
      </pivotArea>
    </chartFormat>
    <chartFormat chart="0" format="21" series="1">
      <pivotArea type="data" outline="0" fieldPosition="0">
        <references count="2">
          <reference field="4294967294" count="1" selected="0">
            <x v="1"/>
          </reference>
          <reference field="1" count="1" selected="0">
            <x v="9"/>
          </reference>
        </references>
      </pivotArea>
    </chartFormat>
    <chartFormat chart="0" format="22" series="1">
      <pivotArea type="data" outline="0" fieldPosition="0">
        <references count="2">
          <reference field="4294967294" count="1" selected="0">
            <x v="1"/>
          </reference>
          <reference field="1" count="1" selected="0">
            <x v="10"/>
          </reference>
        </references>
      </pivotArea>
    </chartFormat>
    <chartFormat chart="0" format="23" series="1">
      <pivotArea type="data" outline="0" fieldPosition="0">
        <references count="2">
          <reference field="4294967294" count="1" selected="0">
            <x v="1"/>
          </reference>
          <reference field="1" count="1" selected="0">
            <x v="11"/>
          </reference>
        </references>
      </pivotArea>
    </chartFormat>
    <chartFormat chart="0" format="24" series="1">
      <pivotArea type="data" outline="0" fieldPosition="0">
        <references count="2">
          <reference field="4294967294" count="1" selected="0">
            <x v="2"/>
          </reference>
          <reference field="1" count="1" selected="0">
            <x v="0"/>
          </reference>
        </references>
      </pivotArea>
    </chartFormat>
    <chartFormat chart="0" format="25" series="1">
      <pivotArea type="data" outline="0" fieldPosition="0">
        <references count="2">
          <reference field="4294967294" count="1" selected="0">
            <x v="2"/>
          </reference>
          <reference field="1" count="1" selected="0">
            <x v="1"/>
          </reference>
        </references>
      </pivotArea>
    </chartFormat>
    <chartFormat chart="0" format="26" series="1">
      <pivotArea type="data" outline="0" fieldPosition="0">
        <references count="2">
          <reference field="4294967294" count="1" selected="0">
            <x v="2"/>
          </reference>
          <reference field="1" count="1" selected="0">
            <x v="2"/>
          </reference>
        </references>
      </pivotArea>
    </chartFormat>
    <chartFormat chart="0" format="27" series="1">
      <pivotArea type="data" outline="0" fieldPosition="0">
        <references count="2">
          <reference field="4294967294" count="1" selected="0">
            <x v="2"/>
          </reference>
          <reference field="1" count="1" selected="0">
            <x v="3"/>
          </reference>
        </references>
      </pivotArea>
    </chartFormat>
    <chartFormat chart="0" format="28" series="1">
      <pivotArea type="data" outline="0" fieldPosition="0">
        <references count="2">
          <reference field="4294967294" count="1" selected="0">
            <x v="2"/>
          </reference>
          <reference field="1" count="1" selected="0">
            <x v="4"/>
          </reference>
        </references>
      </pivotArea>
    </chartFormat>
    <chartFormat chart="0" format="29" series="1">
      <pivotArea type="data" outline="0" fieldPosition="0">
        <references count="2">
          <reference field="4294967294" count="1" selected="0">
            <x v="2"/>
          </reference>
          <reference field="1" count="1" selected="0">
            <x v="5"/>
          </reference>
        </references>
      </pivotArea>
    </chartFormat>
    <chartFormat chart="0" format="30" series="1">
      <pivotArea type="data" outline="0" fieldPosition="0">
        <references count="2">
          <reference field="4294967294" count="1" selected="0">
            <x v="2"/>
          </reference>
          <reference field="1" count="1" selected="0">
            <x v="6"/>
          </reference>
        </references>
      </pivotArea>
    </chartFormat>
    <chartFormat chart="0" format="31" series="1">
      <pivotArea type="data" outline="0" fieldPosition="0">
        <references count="2">
          <reference field="4294967294" count="1" selected="0">
            <x v="2"/>
          </reference>
          <reference field="1" count="1" selected="0">
            <x v="7"/>
          </reference>
        </references>
      </pivotArea>
    </chartFormat>
    <chartFormat chart="0" format="32" series="1">
      <pivotArea type="data" outline="0" fieldPosition="0">
        <references count="2">
          <reference field="4294967294" count="1" selected="0">
            <x v="2"/>
          </reference>
          <reference field="1" count="1" selected="0">
            <x v="8"/>
          </reference>
        </references>
      </pivotArea>
    </chartFormat>
    <chartFormat chart="0" format="33" series="1">
      <pivotArea type="data" outline="0" fieldPosition="0">
        <references count="2">
          <reference field="4294967294" count="1" selected="0">
            <x v="2"/>
          </reference>
          <reference field="1" count="1" selected="0">
            <x v="9"/>
          </reference>
        </references>
      </pivotArea>
    </chartFormat>
    <chartFormat chart="0" format="34" series="1">
      <pivotArea type="data" outline="0" fieldPosition="0">
        <references count="2">
          <reference field="4294967294" count="1" selected="0">
            <x v="2"/>
          </reference>
          <reference field="1" count="1" selected="0">
            <x v="10"/>
          </reference>
        </references>
      </pivotArea>
    </chartFormat>
    <chartFormat chart="0" format="35" series="1">
      <pivotArea type="data" outline="0" fieldPosition="0">
        <references count="2">
          <reference field="4294967294" count="1" selected="0">
            <x v="2"/>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66D150-0DCA-4E99-9C5B-3A29177250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rowPageCount="1" colPageCount="1"/>
  <pivotFields count="14">
    <pivotField showAll="0"/>
    <pivotField axis="axisRow" showAll="0">
      <items count="13">
        <item x="1"/>
        <item x="6"/>
        <item x="7"/>
        <item x="10"/>
        <item x="3"/>
        <item x="11"/>
        <item x="5"/>
        <item x="8"/>
        <item x="0"/>
        <item x="9"/>
        <item x="4"/>
        <item x="2"/>
        <item t="default"/>
      </items>
    </pivotField>
    <pivotField showAll="0">
      <items count="19">
        <item x="3"/>
        <item x="1"/>
        <item f="1" x="7"/>
        <item f="1" x="8"/>
        <item f="1" x="9"/>
        <item f="1" x="10"/>
        <item f="1" x="11"/>
        <item f="1" x="12"/>
        <item x="4"/>
        <item x="0"/>
        <item x="5"/>
        <item x="2"/>
        <item x="6"/>
        <item f="1" x="13"/>
        <item f="1" x="14"/>
        <item f="1" x="15"/>
        <item f="1" x="16"/>
        <item f="1" x="17"/>
        <item t="default"/>
      </items>
    </pivotField>
    <pivotField axis="axisPage" numFmtId="164" showAll="0">
      <items count="145">
        <item x="118"/>
        <item x="108"/>
        <item x="88"/>
        <item x="17"/>
        <item x="0"/>
        <item x="58"/>
        <item x="1"/>
        <item x="28"/>
        <item x="22"/>
        <item x="71"/>
        <item x="107"/>
        <item x="100"/>
        <item x="27"/>
        <item x="57"/>
        <item x="104"/>
        <item x="131"/>
        <item x="90"/>
        <item x="19"/>
        <item x="6"/>
        <item x="32"/>
        <item x="133"/>
        <item x="84"/>
        <item x="87"/>
        <item x="18"/>
        <item x="119"/>
        <item x="103"/>
        <item x="99"/>
        <item x="142"/>
        <item x="3"/>
        <item x="52"/>
        <item x="13"/>
        <item x="47"/>
        <item x="45"/>
        <item x="50"/>
        <item x="115"/>
        <item x="82"/>
        <item x="40"/>
        <item x="141"/>
        <item x="37"/>
        <item x="74"/>
        <item x="25"/>
        <item x="137"/>
        <item x="76"/>
        <item x="53"/>
        <item x="48"/>
        <item x="83"/>
        <item x="66"/>
        <item x="81"/>
        <item x="92"/>
        <item x="135"/>
        <item x="4"/>
        <item x="7"/>
        <item x="55"/>
        <item x="34"/>
        <item x="122"/>
        <item x="106"/>
        <item x="129"/>
        <item x="132"/>
        <item x="134"/>
        <item x="124"/>
        <item x="69"/>
        <item x="77"/>
        <item x="60"/>
        <item x="29"/>
        <item x="117"/>
        <item x="44"/>
        <item x="67"/>
        <item x="111"/>
        <item x="56"/>
        <item x="93"/>
        <item x="79"/>
        <item x="64"/>
        <item x="5"/>
        <item x="36"/>
        <item x="125"/>
        <item x="8"/>
        <item x="12"/>
        <item x="121"/>
        <item x="75"/>
        <item x="102"/>
        <item x="109"/>
        <item x="113"/>
        <item x="35"/>
        <item x="46"/>
        <item x="42"/>
        <item x="138"/>
        <item x="123"/>
        <item x="24"/>
        <item x="30"/>
        <item x="51"/>
        <item x="54"/>
        <item x="39"/>
        <item x="130"/>
        <item x="26"/>
        <item x="23"/>
        <item x="14"/>
        <item x="70"/>
        <item x="80"/>
        <item x="9"/>
        <item x="136"/>
        <item x="85"/>
        <item x="11"/>
        <item x="65"/>
        <item x="62"/>
        <item x="68"/>
        <item x="95"/>
        <item x="143"/>
        <item x="21"/>
        <item x="114"/>
        <item x="127"/>
        <item x="15"/>
        <item x="98"/>
        <item x="73"/>
        <item x="10"/>
        <item x="128"/>
        <item x="41"/>
        <item x="112"/>
        <item x="2"/>
        <item x="63"/>
        <item x="97"/>
        <item x="120"/>
        <item x="59"/>
        <item x="49"/>
        <item x="139"/>
        <item x="89"/>
        <item x="61"/>
        <item x="72"/>
        <item x="33"/>
        <item x="110"/>
        <item x="20"/>
        <item x="16"/>
        <item x="31"/>
        <item x="101"/>
        <item x="105"/>
        <item x="43"/>
        <item x="38"/>
        <item x="96"/>
        <item x="116"/>
        <item x="94"/>
        <item x="126"/>
        <item x="91"/>
        <item x="140"/>
        <item x="78"/>
        <item x="86"/>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3" hier="-1"/>
  </pageFields>
  <dataFields count="1">
    <dataField name="Sum of Utilization_Rate(%)" fld="11" baseField="0" baseItem="0"/>
  </dataFields>
  <chartFormats count="13">
    <chartFormat chart="1" format="0" series="1">
      <pivotArea type="data" outline="0" fieldPosition="0">
        <references count="1">
          <reference field="1" count="1" selected="0">
            <x v="0"/>
          </reference>
        </references>
      </pivotArea>
    </chartFormat>
    <chartFormat chart="1" format="1" series="1">
      <pivotArea type="data" outline="0" fieldPosition="0">
        <references count="1">
          <reference field="1" count="1" selected="0">
            <x v="1"/>
          </reference>
        </references>
      </pivotArea>
    </chartFormat>
    <chartFormat chart="1" format="2" series="1">
      <pivotArea type="data" outline="0" fieldPosition="0">
        <references count="1">
          <reference field="1" count="1" selected="0">
            <x v="2"/>
          </reference>
        </references>
      </pivotArea>
    </chartFormat>
    <chartFormat chart="1" format="3" series="1">
      <pivotArea type="data" outline="0" fieldPosition="0">
        <references count="1">
          <reference field="1" count="1" selected="0">
            <x v="3"/>
          </reference>
        </references>
      </pivotArea>
    </chartFormat>
    <chartFormat chart="1" format="4" series="1">
      <pivotArea type="data" outline="0" fieldPosition="0">
        <references count="1">
          <reference field="1" count="1" selected="0">
            <x v="4"/>
          </reference>
        </references>
      </pivotArea>
    </chartFormat>
    <chartFormat chart="1" format="5" series="1">
      <pivotArea type="data" outline="0" fieldPosition="0">
        <references count="1">
          <reference field="1" count="1" selected="0">
            <x v="5"/>
          </reference>
        </references>
      </pivotArea>
    </chartFormat>
    <chartFormat chart="1" format="6" series="1">
      <pivotArea type="data" outline="0" fieldPosition="0">
        <references count="1">
          <reference field="1" count="1" selected="0">
            <x v="6"/>
          </reference>
        </references>
      </pivotArea>
    </chartFormat>
    <chartFormat chart="1" format="7" series="1">
      <pivotArea type="data" outline="0" fieldPosition="0">
        <references count="1">
          <reference field="1" count="1" selected="0">
            <x v="7"/>
          </reference>
        </references>
      </pivotArea>
    </chartFormat>
    <chartFormat chart="1" format="8" series="1">
      <pivotArea type="data" outline="0" fieldPosition="0">
        <references count="1">
          <reference field="1" count="1" selected="0">
            <x v="8"/>
          </reference>
        </references>
      </pivotArea>
    </chartFormat>
    <chartFormat chart="1" format="9" series="1">
      <pivotArea type="data" outline="0" fieldPosition="0">
        <references count="1">
          <reference field="1" count="1" selected="0">
            <x v="9"/>
          </reference>
        </references>
      </pivotArea>
    </chartFormat>
    <chartFormat chart="1" format="10" series="1">
      <pivotArea type="data" outline="0" fieldPosition="0">
        <references count="1">
          <reference field="1" count="1" selected="0">
            <x v="10"/>
          </reference>
        </references>
      </pivotArea>
    </chartFormat>
    <chartFormat chart="1" format="11" series="1">
      <pivotArea type="data" outline="0" fieldPosition="0">
        <references count="1">
          <reference field="1" count="1" selected="0">
            <x v="11"/>
          </reference>
        </references>
      </pivotArea>
    </chartFormat>
    <chartFormat chart="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DF4A17-D92A-4BDF-BB40-9E9626E27F60}" name="PivotTable5" cacheId="1" applyNumberFormats="0" applyBorderFormats="0" applyFontFormats="0" applyPatternFormats="0" applyAlignmentFormats="0" applyWidthHeightFormats="1" dataCaption="Values" tag="46f42fdf-948f-4d68-971a-25223e9ad4d8" updatedVersion="8" minRefreshableVersion="3" useAutoFormatting="1" subtotalHiddenItems="1" itemPrintTitles="1" createdVersion="8" indent="0" outline="1" outlineData="1" multipleFieldFilters="0" chartFormat="10">
  <location ref="A3:C16" firstHeaderRow="0" firstDataRow="1" firstDataCol="1" rowPageCount="1" colPageCount="1"/>
  <pivotFields count="8">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items count="7">
        <item x="0"/>
        <item x="1"/>
        <item x="2"/>
        <item x="3"/>
        <item x="4"/>
        <item x="5"/>
        <item s="1"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1" hier="19" name="[Range 1].[Department].&amp;[Radiology]" cap="Radiology"/>
  </pageFields>
  <dataFields count="2">
    <dataField name="Sum of Utilization_Rate(%)" fld="2" baseField="0" baseItem="0"/>
    <dataField name="Sum of Efficiency_Gap" fld="3" baseField="0" baseItem="0"/>
  </dataFields>
  <chartFormats count="1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1"/>
          </reference>
          <reference field="1" count="1" selected="0">
            <x v="0"/>
          </reference>
        </references>
      </pivotArea>
    </chartFormat>
    <chartFormat chart="0" format="8" series="1">
      <pivotArea type="data" outline="0" fieldPosition="0">
        <references count="2">
          <reference field="4294967294" count="1" selected="0">
            <x v="1"/>
          </reference>
          <reference field="1" count="1" selected="0">
            <x v="1"/>
          </reference>
        </references>
      </pivotArea>
    </chartFormat>
    <chartFormat chart="0" format="9" series="1">
      <pivotArea type="data" outline="0" fieldPosition="0">
        <references count="2">
          <reference field="4294967294" count="1" selected="0">
            <x v="1"/>
          </reference>
          <reference field="1" count="1" selected="0">
            <x v="2"/>
          </reference>
        </references>
      </pivotArea>
    </chartFormat>
    <chartFormat chart="0" format="10" series="1">
      <pivotArea type="data" outline="0" fieldPosition="0">
        <references count="2">
          <reference field="4294967294" count="1" selected="0">
            <x v="1"/>
          </reference>
          <reference field="1" count="1" selected="0">
            <x v="3"/>
          </reference>
        </references>
      </pivotArea>
    </chartFormat>
    <chartFormat chart="0" format="11" series="1">
      <pivotArea type="data" outline="0" fieldPosition="0">
        <references count="2">
          <reference field="4294967294" count="1" selected="0">
            <x v="1"/>
          </reference>
          <reference field="1" count="1" selected="0">
            <x v="4"/>
          </reference>
        </references>
      </pivotArea>
    </chartFormat>
    <chartFormat chart="0" format="12" series="1">
      <pivotArea type="data" outline="0" fieldPosition="0">
        <references count="2">
          <reference field="4294967294" count="1" selected="0">
            <x v="1"/>
          </reference>
          <reference field="1" count="1" selected="0">
            <x v="5"/>
          </reference>
        </references>
      </pivotArea>
    </chartFormat>
    <chartFormat chart="0" format="13" series="1">
      <pivotArea type="data" outline="0" fieldPosition="0">
        <references count="2">
          <reference field="4294967294" count="1" selected="0">
            <x v="1"/>
          </reference>
          <reference field="1" count="1" selected="0">
            <x v="6"/>
          </reference>
        </references>
      </pivotArea>
    </chartFormat>
    <chartFormat chart="0" format="14"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members count="3" level="1">
        <member name="[Range].[Equipment_Name].&amp;[Anesthesia Machine]"/>
        <member name="[Range].[Equipment_Name].&amp;[CT Scanner]"/>
        <member name="[Range].[Equipment_Name].&amp;[Defibrillator]"/>
      </members>
    </pivotHierarchy>
    <pivotHierarchy multipleItemSelectionAllowed="1" dragToData="1">
      <members count="4" level="1">
        <member name="[Range].[Department].&amp;[General Ward]"/>
        <member name="[Range].[Department].&amp;[ICU]"/>
        <member name="[Range].[Department].&amp;[Nephrology]"/>
        <member name="[Range].[Department].&amp;[OT]"/>
      </members>
    </pivotHierarchy>
    <pivotHierarchy dragToData="1"/>
    <pivotHierarchy dragToData="1"/>
    <pivotHierarchy dragToData="1"/>
    <pivotHierarchy dragToData="1"/>
    <pivotHierarchy dragToData="1"/>
    <pivotHierarchy multipleItemSelectionAllowed="1" dragToData="1">
      <members count="1" level="1">
        <member name="[Range].[Maintenance_Type].&amp;[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301">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C01DAD-00A2-42BB-81D3-E7579B6CFC05}" name="PivotTable15" cacheId="29" applyNumberFormats="0" applyBorderFormats="0" applyFontFormats="0" applyPatternFormats="0" applyAlignmentFormats="0" applyWidthHeightFormats="1" dataCaption="Values" tag="85017753-8364-4da5-8031-510e65d527fd" updatedVersion="8" minRefreshableVersion="3" useAutoFormatting="1" subtotalHiddenItems="1" itemPrintTitles="1" createdVersion="8" indent="0" outline="1" outlineData="1" multipleFieldFilters="0" chartFormat="10">
  <location ref="CU5:DJ10" firstHeaderRow="1" firstDataRow="3" firstDataCol="1"/>
  <pivotFields count="7">
    <pivotField axis="axisRow" allDrilled="1" subtotalTop="0" showAll="0" dataSourceSort="1" defaultSubtotal="0" defaultAttributeDrillState="1">
      <items count="2">
        <item s="1" x="0"/>
        <item s="1" x="1"/>
      </items>
    </pivotField>
    <pivotField axis="axisCol" allDrilled="1" subtotalTop="0" showAll="0" dataSourceSort="1" defaultSubtotal="0" defaultAttributeDrillState="1">
      <items count="7">
        <item s="1" x="0"/>
        <item s="1" x="1"/>
        <item s="1" x="2"/>
        <item s="1"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2">
    <field x="-2"/>
    <field x="1"/>
  </colFields>
  <colItems count="15">
    <i>
      <x/>
      <x/>
    </i>
    <i r="1">
      <x v="1"/>
    </i>
    <i r="1">
      <x v="2"/>
    </i>
    <i r="1">
      <x v="3"/>
    </i>
    <i i="1">
      <x v="1"/>
      <x/>
    </i>
    <i r="1" i="1">
      <x v="1"/>
    </i>
    <i r="1" i="1">
      <x v="2"/>
    </i>
    <i r="1" i="1">
      <x v="3"/>
    </i>
    <i i="2">
      <x v="2"/>
      <x/>
    </i>
    <i r="1" i="2">
      <x v="1"/>
    </i>
    <i r="1" i="2">
      <x v="2"/>
    </i>
    <i r="1" i="2">
      <x v="3"/>
    </i>
    <i t="grand">
      <x/>
    </i>
    <i t="grand" i="1">
      <x v="1"/>
    </i>
    <i t="grand" i="2">
      <x v="2"/>
    </i>
  </colItems>
  <dataFields count="3">
    <dataField name="Sum of Scheduled_Hours" fld="2" baseField="0" baseItem="0"/>
    <dataField name="Sum of Actual_Usage_Hours" fld="3" baseField="0" baseItem="0"/>
    <dataField name="Sum of Downtime_Hours" fld="4" baseField="0" baseItem="0"/>
  </dataFields>
  <chartFormats count="108">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4"/>
          </reference>
        </references>
      </pivotArea>
    </chartFormat>
    <chartFormat chart="0" format="2" series="1">
      <pivotArea type="data" outline="0" fieldPosition="0">
        <references count="2">
          <reference field="4294967294" count="1" selected="0">
            <x v="1"/>
          </reference>
          <reference field="1" count="1" selected="0">
            <x v="5"/>
          </reference>
        </references>
      </pivotArea>
    </chartFormat>
    <chartFormat chart="0" format="3" series="1">
      <pivotArea type="data" outline="0" fieldPosition="0">
        <references count="2">
          <reference field="4294967294" count="1" selected="0">
            <x v="1"/>
          </reference>
          <reference field="1" count="1" selected="0">
            <x v="4"/>
          </reference>
        </references>
      </pivotArea>
    </chartFormat>
    <chartFormat chart="0" format="4" series="1">
      <pivotArea type="data" outline="0" fieldPosition="0">
        <references count="2">
          <reference field="4294967294" count="1" selected="0">
            <x v="2"/>
          </reference>
          <reference field="1" count="1" selected="0">
            <x v="5"/>
          </reference>
        </references>
      </pivotArea>
    </chartFormat>
    <chartFormat chart="0" format="5" series="1">
      <pivotArea type="data" outline="0" fieldPosition="0">
        <references count="2">
          <reference field="4294967294" count="1" selected="0">
            <x v="2"/>
          </reference>
          <reference field="1" count="1" selected="0">
            <x v="4"/>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2">
          <reference field="4294967294" count="1" selected="0">
            <x v="2"/>
          </reference>
          <reference field="1" count="1" selected="0">
            <x v="0"/>
          </reference>
        </references>
      </pivotArea>
    </chartFormat>
    <chartFormat chart="0" format="10" series="1">
      <pivotArea type="data" outline="0" fieldPosition="0">
        <references count="2">
          <reference field="4294967294" count="1" selected="0">
            <x v="0"/>
          </reference>
          <reference field="1" count="1" selected="0">
            <x v="0"/>
          </reference>
        </references>
      </pivotArea>
    </chartFormat>
    <chartFormat chart="0" format="11" series="1">
      <pivotArea type="data" outline="0" fieldPosition="0">
        <references count="2">
          <reference field="4294967294" count="1" selected="0">
            <x v="1"/>
          </reference>
          <reference field="1" count="1" selected="0">
            <x v="0"/>
          </reference>
        </references>
      </pivotArea>
    </chartFormat>
    <chartFormat chart="0" format="12" series="1">
      <pivotArea type="data" outline="0" fieldPosition="0">
        <references count="2">
          <reference field="4294967294" count="1" selected="0">
            <x v="0"/>
          </reference>
          <reference field="1" count="1" selected="0">
            <x v="2"/>
          </reference>
        </references>
      </pivotArea>
    </chartFormat>
    <chartFormat chart="0" format="13" series="1">
      <pivotArea type="data" outline="0" fieldPosition="0">
        <references count="2">
          <reference field="4294967294" count="1" selected="0">
            <x v="1"/>
          </reference>
          <reference field="1" count="1" selected="0">
            <x v="2"/>
          </reference>
        </references>
      </pivotArea>
    </chartFormat>
    <chartFormat chart="0" format="14" series="1">
      <pivotArea type="data" outline="0" fieldPosition="0">
        <references count="2">
          <reference field="4294967294" count="1" selected="0">
            <x v="2"/>
          </reference>
          <reference field="1" count="1" selected="0">
            <x v="2"/>
          </reference>
        </references>
      </pivotArea>
    </chartFormat>
    <chartFormat chart="0" format="15" series="1">
      <pivotArea type="data" outline="0" fieldPosition="0">
        <references count="2">
          <reference field="4294967294" count="1" selected="0">
            <x v="0"/>
          </reference>
          <reference field="1" count="1" selected="0">
            <x v="3"/>
          </reference>
        </references>
      </pivotArea>
    </chartFormat>
    <chartFormat chart="0" format="16" series="1">
      <pivotArea type="data" outline="0" fieldPosition="0">
        <references count="2">
          <reference field="4294967294" count="1" selected="0">
            <x v="1"/>
          </reference>
          <reference field="1" count="1" selected="0">
            <x v="3"/>
          </reference>
        </references>
      </pivotArea>
    </chartFormat>
    <chartFormat chart="0" format="17" series="1">
      <pivotArea type="data" outline="0" fieldPosition="0">
        <references count="2">
          <reference field="4294967294" count="1" selected="0">
            <x v="2"/>
          </reference>
          <reference field="1" count="1" selected="0">
            <x v="3"/>
          </reference>
        </references>
      </pivotArea>
    </chartFormat>
    <chartFormat chart="0" format="18" series="1">
      <pivotArea type="data" outline="0" fieldPosition="0">
        <references count="2">
          <reference field="4294967294" count="1" selected="0">
            <x v="0"/>
          </reference>
          <reference field="1" count="1" selected="0">
            <x v="6"/>
          </reference>
        </references>
      </pivotArea>
    </chartFormat>
    <chartFormat chart="0" format="19" series="1">
      <pivotArea type="data" outline="0" fieldPosition="0">
        <references count="2">
          <reference field="4294967294" count="1" selected="0">
            <x v="1"/>
          </reference>
          <reference field="1" count="1" selected="0">
            <x v="6"/>
          </reference>
        </references>
      </pivotArea>
    </chartFormat>
    <chartFormat chart="0" format="20" series="1">
      <pivotArea type="data" outline="0" fieldPosition="0">
        <references count="2">
          <reference field="4294967294" count="1" selected="0">
            <x v="2"/>
          </reference>
          <reference field="1" count="1" selected="0">
            <x v="6"/>
          </reference>
        </references>
      </pivotArea>
    </chartFormat>
    <chartFormat chart="5" format="51" series="1">
      <pivotArea type="data" outline="0" fieldPosition="0">
        <references count="2">
          <reference field="4294967294" count="1" selected="0">
            <x v="0"/>
          </reference>
          <reference field="1" count="1" selected="0">
            <x v="4"/>
          </reference>
        </references>
      </pivotArea>
    </chartFormat>
    <chartFormat chart="5" format="52" series="1">
      <pivotArea type="data" outline="0" fieldPosition="0">
        <references count="2">
          <reference field="4294967294" count="1" selected="0">
            <x v="0"/>
          </reference>
          <reference field="1" count="1" selected="0">
            <x v="2"/>
          </reference>
        </references>
      </pivotArea>
    </chartFormat>
    <chartFormat chart="5" format="53" series="1">
      <pivotArea type="data" outline="0" fieldPosition="0">
        <references count="2">
          <reference field="4294967294" count="1" selected="0">
            <x v="0"/>
          </reference>
          <reference field="1" count="1" selected="0">
            <x v="3"/>
          </reference>
        </references>
      </pivotArea>
    </chartFormat>
    <chartFormat chart="5" format="54" series="1">
      <pivotArea type="data" outline="0" fieldPosition="0">
        <references count="2">
          <reference field="4294967294" count="1" selected="0">
            <x v="0"/>
          </reference>
          <reference field="1" count="1" selected="0">
            <x v="6"/>
          </reference>
        </references>
      </pivotArea>
    </chartFormat>
    <chartFormat chart="5" format="55" series="1">
      <pivotArea type="data" outline="0" fieldPosition="0">
        <references count="2">
          <reference field="4294967294" count="1" selected="0">
            <x v="1"/>
          </reference>
          <reference field="1" count="1" selected="0">
            <x v="4"/>
          </reference>
        </references>
      </pivotArea>
    </chartFormat>
    <chartFormat chart="5" format="56" series="1">
      <pivotArea type="data" outline="0" fieldPosition="0">
        <references count="2">
          <reference field="4294967294" count="1" selected="0">
            <x v="1"/>
          </reference>
          <reference field="1" count="1" selected="0">
            <x v="2"/>
          </reference>
        </references>
      </pivotArea>
    </chartFormat>
    <chartFormat chart="5" format="57" series="1">
      <pivotArea type="data" outline="0" fieldPosition="0">
        <references count="2">
          <reference field="4294967294" count="1" selected="0">
            <x v="1"/>
          </reference>
          <reference field="1" count="1" selected="0">
            <x v="3"/>
          </reference>
        </references>
      </pivotArea>
    </chartFormat>
    <chartFormat chart="5" format="58" series="1">
      <pivotArea type="data" outline="0" fieldPosition="0">
        <references count="2">
          <reference field="4294967294" count="1" selected="0">
            <x v="1"/>
          </reference>
          <reference field="1" count="1" selected="0">
            <x v="6"/>
          </reference>
        </references>
      </pivotArea>
    </chartFormat>
    <chartFormat chart="5" format="59" series="1">
      <pivotArea type="data" outline="0" fieldPosition="0">
        <references count="2">
          <reference field="4294967294" count="1" selected="0">
            <x v="2"/>
          </reference>
          <reference field="1" count="1" selected="0">
            <x v="4"/>
          </reference>
        </references>
      </pivotArea>
    </chartFormat>
    <chartFormat chart="5" format="60" series="1">
      <pivotArea type="data" outline="0" fieldPosition="0">
        <references count="2">
          <reference field="4294967294" count="1" selected="0">
            <x v="2"/>
          </reference>
          <reference field="1" count="1" selected="0">
            <x v="2"/>
          </reference>
        </references>
      </pivotArea>
    </chartFormat>
    <chartFormat chart="5" format="61" series="1">
      <pivotArea type="data" outline="0" fieldPosition="0">
        <references count="2">
          <reference field="4294967294" count="1" selected="0">
            <x v="2"/>
          </reference>
          <reference field="1" count="1" selected="0">
            <x v="3"/>
          </reference>
        </references>
      </pivotArea>
    </chartFormat>
    <chartFormat chart="5" format="62" series="1">
      <pivotArea type="data" outline="0" fieldPosition="0">
        <references count="2">
          <reference field="4294967294" count="1" selected="0">
            <x v="2"/>
          </reference>
          <reference field="1" count="1" selected="0">
            <x v="6"/>
          </reference>
        </references>
      </pivotArea>
    </chartFormat>
    <chartFormat chart="7" format="75" series="1">
      <pivotArea type="data" outline="0" fieldPosition="0">
        <references count="2">
          <reference field="4294967294" count="1" selected="0">
            <x v="0"/>
          </reference>
          <reference field="1" count="1" selected="0">
            <x v="4"/>
          </reference>
        </references>
      </pivotArea>
    </chartFormat>
    <chartFormat chart="7" format="76" series="1">
      <pivotArea type="data" outline="0" fieldPosition="0">
        <references count="2">
          <reference field="4294967294" count="1" selected="0">
            <x v="0"/>
          </reference>
          <reference field="1" count="1" selected="0">
            <x v="2"/>
          </reference>
        </references>
      </pivotArea>
    </chartFormat>
    <chartFormat chart="7" format="77" series="1">
      <pivotArea type="data" outline="0" fieldPosition="0">
        <references count="2">
          <reference field="4294967294" count="1" selected="0">
            <x v="0"/>
          </reference>
          <reference field="1" count="1" selected="0">
            <x v="3"/>
          </reference>
        </references>
      </pivotArea>
    </chartFormat>
    <chartFormat chart="7" format="78" series="1">
      <pivotArea type="data" outline="0" fieldPosition="0">
        <references count="2">
          <reference field="4294967294" count="1" selected="0">
            <x v="0"/>
          </reference>
          <reference field="1" count="1" selected="0">
            <x v="6"/>
          </reference>
        </references>
      </pivotArea>
    </chartFormat>
    <chartFormat chart="7" format="79" series="1">
      <pivotArea type="data" outline="0" fieldPosition="0">
        <references count="2">
          <reference field="4294967294" count="1" selected="0">
            <x v="1"/>
          </reference>
          <reference field="1" count="1" selected="0">
            <x v="4"/>
          </reference>
        </references>
      </pivotArea>
    </chartFormat>
    <chartFormat chart="7" format="80" series="1">
      <pivotArea type="data" outline="0" fieldPosition="0">
        <references count="2">
          <reference field="4294967294" count="1" selected="0">
            <x v="1"/>
          </reference>
          <reference field="1" count="1" selected="0">
            <x v="2"/>
          </reference>
        </references>
      </pivotArea>
    </chartFormat>
    <chartFormat chart="7" format="81" series="1">
      <pivotArea type="data" outline="0" fieldPosition="0">
        <references count="2">
          <reference field="4294967294" count="1" selected="0">
            <x v="1"/>
          </reference>
          <reference field="1" count="1" selected="0">
            <x v="3"/>
          </reference>
        </references>
      </pivotArea>
    </chartFormat>
    <chartFormat chart="7" format="82" series="1">
      <pivotArea type="data" outline="0" fieldPosition="0">
        <references count="2">
          <reference field="4294967294" count="1" selected="0">
            <x v="1"/>
          </reference>
          <reference field="1" count="1" selected="0">
            <x v="6"/>
          </reference>
        </references>
      </pivotArea>
    </chartFormat>
    <chartFormat chart="7" format="83" series="1">
      <pivotArea type="data" outline="0" fieldPosition="0">
        <references count="2">
          <reference field="4294967294" count="1" selected="0">
            <x v="2"/>
          </reference>
          <reference field="1" count="1" selected="0">
            <x v="4"/>
          </reference>
        </references>
      </pivotArea>
    </chartFormat>
    <chartFormat chart="7" format="84" series="1">
      <pivotArea type="data" outline="0" fieldPosition="0">
        <references count="2">
          <reference field="4294967294" count="1" selected="0">
            <x v="2"/>
          </reference>
          <reference field="1" count="1" selected="0">
            <x v="2"/>
          </reference>
        </references>
      </pivotArea>
    </chartFormat>
    <chartFormat chart="7" format="85" series="1">
      <pivotArea type="data" outline="0" fieldPosition="0">
        <references count="2">
          <reference field="4294967294" count="1" selected="0">
            <x v="2"/>
          </reference>
          <reference field="1" count="1" selected="0">
            <x v="3"/>
          </reference>
        </references>
      </pivotArea>
    </chartFormat>
    <chartFormat chart="7" format="86" series="1">
      <pivotArea type="data" outline="0" fieldPosition="0">
        <references count="2">
          <reference field="4294967294" count="1" selected="0">
            <x v="2"/>
          </reference>
          <reference field="1" count="1" selected="0">
            <x v="6"/>
          </reference>
        </references>
      </pivotArea>
    </chartFormat>
    <chartFormat chart="7" format="87" series="1">
      <pivotArea type="data" outline="0" fieldPosition="0">
        <references count="2">
          <reference field="4294967294" count="1" selected="0">
            <x v="0"/>
          </reference>
          <reference field="1" count="1" selected="0">
            <x v="5"/>
          </reference>
        </references>
      </pivotArea>
    </chartFormat>
    <chartFormat chart="7" format="88" series="1">
      <pivotArea type="data" outline="0" fieldPosition="0">
        <references count="2">
          <reference field="4294967294" count="1" selected="0">
            <x v="0"/>
          </reference>
          <reference field="1" count="1" selected="0">
            <x v="0"/>
          </reference>
        </references>
      </pivotArea>
    </chartFormat>
    <chartFormat chart="7" format="89" series="1">
      <pivotArea type="data" outline="0" fieldPosition="0">
        <references count="2">
          <reference field="4294967294" count="1" selected="0">
            <x v="1"/>
          </reference>
          <reference field="1" count="1" selected="0">
            <x v="5"/>
          </reference>
        </references>
      </pivotArea>
    </chartFormat>
    <chartFormat chart="7" format="90" series="1">
      <pivotArea type="data" outline="0" fieldPosition="0">
        <references count="2">
          <reference field="4294967294" count="1" selected="0">
            <x v="1"/>
          </reference>
          <reference field="1" count="1" selected="0">
            <x v="0"/>
          </reference>
        </references>
      </pivotArea>
    </chartFormat>
    <chartFormat chart="7" format="91" series="1">
      <pivotArea type="data" outline="0" fieldPosition="0">
        <references count="2">
          <reference field="4294967294" count="1" selected="0">
            <x v="2"/>
          </reference>
          <reference field="1" count="1" selected="0">
            <x v="5"/>
          </reference>
        </references>
      </pivotArea>
    </chartFormat>
    <chartFormat chart="7" format="92" series="1">
      <pivotArea type="data" outline="0" fieldPosition="0">
        <references count="2">
          <reference field="4294967294" count="1" selected="0">
            <x v="2"/>
          </reference>
          <reference field="1" count="1" selected="0">
            <x v="0"/>
          </reference>
        </references>
      </pivotArea>
    </chartFormat>
    <chartFormat chart="5" format="63" series="1">
      <pivotArea type="data" outline="0" fieldPosition="0">
        <references count="2">
          <reference field="4294967294" count="1" selected="0">
            <x v="0"/>
          </reference>
          <reference field="1" count="1" selected="0">
            <x v="5"/>
          </reference>
        </references>
      </pivotArea>
    </chartFormat>
    <chartFormat chart="5" format="64" series="1">
      <pivotArea type="data" outline="0" fieldPosition="0">
        <references count="2">
          <reference field="4294967294" count="1" selected="0">
            <x v="0"/>
          </reference>
          <reference field="1" count="1" selected="0">
            <x v="0"/>
          </reference>
        </references>
      </pivotArea>
    </chartFormat>
    <chartFormat chart="5" format="65" series="1">
      <pivotArea type="data" outline="0" fieldPosition="0">
        <references count="2">
          <reference field="4294967294" count="1" selected="0">
            <x v="1"/>
          </reference>
          <reference field="1" count="1" selected="0">
            <x v="5"/>
          </reference>
        </references>
      </pivotArea>
    </chartFormat>
    <chartFormat chart="5" format="66" series="1">
      <pivotArea type="data" outline="0" fieldPosition="0">
        <references count="2">
          <reference field="4294967294" count="1" selected="0">
            <x v="1"/>
          </reference>
          <reference field="1" count="1" selected="0">
            <x v="0"/>
          </reference>
        </references>
      </pivotArea>
    </chartFormat>
    <chartFormat chart="5" format="67" series="1">
      <pivotArea type="data" outline="0" fieldPosition="0">
        <references count="2">
          <reference field="4294967294" count="1" selected="0">
            <x v="2"/>
          </reference>
          <reference field="1" count="1" selected="0">
            <x v="5"/>
          </reference>
        </references>
      </pivotArea>
    </chartFormat>
    <chartFormat chart="5" format="68" series="1">
      <pivotArea type="data" outline="0" fieldPosition="0">
        <references count="2">
          <reference field="4294967294" count="1" selected="0">
            <x v="2"/>
          </reference>
          <reference field="1" count="1" selected="0">
            <x v="0"/>
          </reference>
        </references>
      </pivotArea>
    </chartFormat>
    <chartFormat chart="7" format="93" series="1">
      <pivotArea type="data" outline="0" fieldPosition="0">
        <references count="2">
          <reference field="4294967294" count="1" selected="0">
            <x v="2"/>
          </reference>
          <reference field="1" count="1" selected="0">
            <x v="1"/>
          </reference>
        </references>
      </pivotArea>
    </chartFormat>
    <chartFormat chart="7" format="94" series="1">
      <pivotArea type="data" outline="0" fieldPosition="0">
        <references count="2">
          <reference field="4294967294" count="1" selected="0">
            <x v="0"/>
          </reference>
          <reference field="1" count="1" selected="0">
            <x v="1"/>
          </reference>
        </references>
      </pivotArea>
    </chartFormat>
    <chartFormat chart="7" format="95" series="1">
      <pivotArea type="data" outline="0" fieldPosition="0">
        <references count="2">
          <reference field="4294967294" count="1" selected="0">
            <x v="1"/>
          </reference>
          <reference field="1" count="1" selected="0">
            <x v="1"/>
          </reference>
        </references>
      </pivotArea>
    </chartFormat>
    <chartFormat chart="5" format="69" series="1">
      <pivotArea type="data" outline="0" fieldPosition="0">
        <references count="2">
          <reference field="4294967294" count="1" selected="0">
            <x v="2"/>
          </reference>
          <reference field="1" count="1" selected="0">
            <x v="1"/>
          </reference>
        </references>
      </pivotArea>
    </chartFormat>
    <chartFormat chart="5" format="70" series="1">
      <pivotArea type="data" outline="0" fieldPosition="0">
        <references count="2">
          <reference field="4294967294" count="1" selected="0">
            <x v="0"/>
          </reference>
          <reference field="1" count="1" selected="0">
            <x v="1"/>
          </reference>
        </references>
      </pivotArea>
    </chartFormat>
    <chartFormat chart="5" format="71" series="1">
      <pivotArea type="data" outline="0" fieldPosition="0">
        <references count="2">
          <reference field="4294967294" count="1" selected="0">
            <x v="1"/>
          </reference>
          <reference field="1" count="1" selected="0">
            <x v="1"/>
          </reference>
        </references>
      </pivotArea>
    </chartFormat>
    <chartFormat chart="0" format="21" series="1">
      <pivotArea type="data" outline="0" fieldPosition="0">
        <references count="2">
          <reference field="4294967294" count="1" selected="0">
            <x v="2"/>
          </reference>
          <reference field="1" count="1" selected="0">
            <x v="1"/>
          </reference>
        </references>
      </pivotArea>
    </chartFormat>
    <chartFormat chart="0" format="22" series="1">
      <pivotArea type="data" outline="0" fieldPosition="0">
        <references count="2">
          <reference field="4294967294" count="1" selected="0">
            <x v="0"/>
          </reference>
          <reference field="1" count="1" selected="0">
            <x v="1"/>
          </reference>
        </references>
      </pivotArea>
    </chartFormat>
    <chartFormat chart="0" format="23" series="1">
      <pivotArea type="data" outline="0" fieldPosition="0">
        <references count="2">
          <reference field="4294967294" count="1" selected="0">
            <x v="1"/>
          </reference>
          <reference field="1" count="1" selected="0">
            <x v="1"/>
          </reference>
        </references>
      </pivotArea>
    </chartFormat>
    <chartFormat chart="8" format="72" series="1">
      <pivotArea type="data" outline="0" fieldPosition="0">
        <references count="2">
          <reference field="4294967294" count="1" selected="0">
            <x v="0"/>
          </reference>
          <reference field="1" count="1" selected="0">
            <x v="5"/>
          </reference>
        </references>
      </pivotArea>
    </chartFormat>
    <chartFormat chart="8" format="73" series="1">
      <pivotArea type="data" outline="0" fieldPosition="0">
        <references count="2">
          <reference field="4294967294" count="1" selected="0">
            <x v="0"/>
          </reference>
          <reference field="1" count="1" selected="0">
            <x v="4"/>
          </reference>
        </references>
      </pivotArea>
    </chartFormat>
    <chartFormat chart="8" format="74" series="1">
      <pivotArea type="data" outline="0" fieldPosition="0">
        <references count="2">
          <reference field="4294967294" count="1" selected="0">
            <x v="0"/>
          </reference>
          <reference field="1" count="1" selected="0">
            <x v="0"/>
          </reference>
        </references>
      </pivotArea>
    </chartFormat>
    <chartFormat chart="8" format="75" series="1">
      <pivotArea type="data" outline="0" fieldPosition="0">
        <references count="2">
          <reference field="4294967294" count="1" selected="0">
            <x v="0"/>
          </reference>
          <reference field="1" count="1" selected="0">
            <x v="1"/>
          </reference>
        </references>
      </pivotArea>
    </chartFormat>
    <chartFormat chart="8" format="76" series="1">
      <pivotArea type="data" outline="0" fieldPosition="0">
        <references count="2">
          <reference field="4294967294" count="1" selected="0">
            <x v="0"/>
          </reference>
          <reference field="1" count="1" selected="0">
            <x v="2"/>
          </reference>
        </references>
      </pivotArea>
    </chartFormat>
    <chartFormat chart="8" format="77" series="1">
      <pivotArea type="data" outline="0" fieldPosition="0">
        <references count="2">
          <reference field="4294967294" count="1" selected="0">
            <x v="0"/>
          </reference>
          <reference field="1" count="1" selected="0">
            <x v="3"/>
          </reference>
        </references>
      </pivotArea>
    </chartFormat>
    <chartFormat chart="8" format="78" series="1">
      <pivotArea type="data" outline="0" fieldPosition="0">
        <references count="2">
          <reference field="4294967294" count="1" selected="0">
            <x v="0"/>
          </reference>
          <reference field="1" count="1" selected="0">
            <x v="6"/>
          </reference>
        </references>
      </pivotArea>
    </chartFormat>
    <chartFormat chart="8" format="79" series="1">
      <pivotArea type="data" outline="0" fieldPosition="0">
        <references count="2">
          <reference field="4294967294" count="1" selected="0">
            <x v="1"/>
          </reference>
          <reference field="1" count="1" selected="0">
            <x v="5"/>
          </reference>
        </references>
      </pivotArea>
    </chartFormat>
    <chartFormat chart="8" format="80" series="1">
      <pivotArea type="data" outline="0" fieldPosition="0">
        <references count="2">
          <reference field="4294967294" count="1" selected="0">
            <x v="1"/>
          </reference>
          <reference field="1" count="1" selected="0">
            <x v="4"/>
          </reference>
        </references>
      </pivotArea>
    </chartFormat>
    <chartFormat chart="8" format="81" series="1">
      <pivotArea type="data" outline="0" fieldPosition="0">
        <references count="2">
          <reference field="4294967294" count="1" selected="0">
            <x v="1"/>
          </reference>
          <reference field="1" count="1" selected="0">
            <x v="0"/>
          </reference>
        </references>
      </pivotArea>
    </chartFormat>
    <chartFormat chart="8" format="82" series="1">
      <pivotArea type="data" outline="0" fieldPosition="0">
        <references count="2">
          <reference field="4294967294" count="1" selected="0">
            <x v="1"/>
          </reference>
          <reference field="1" count="1" selected="0">
            <x v="1"/>
          </reference>
        </references>
      </pivotArea>
    </chartFormat>
    <chartFormat chart="8" format="83" series="1">
      <pivotArea type="data" outline="0" fieldPosition="0">
        <references count="2">
          <reference field="4294967294" count="1" selected="0">
            <x v="1"/>
          </reference>
          <reference field="1" count="1" selected="0">
            <x v="2"/>
          </reference>
        </references>
      </pivotArea>
    </chartFormat>
    <chartFormat chart="8" format="84" series="1">
      <pivotArea type="data" outline="0" fieldPosition="0">
        <references count="2">
          <reference field="4294967294" count="1" selected="0">
            <x v="1"/>
          </reference>
          <reference field="1" count="1" selected="0">
            <x v="3"/>
          </reference>
        </references>
      </pivotArea>
    </chartFormat>
    <chartFormat chart="8" format="85" series="1">
      <pivotArea type="data" outline="0" fieldPosition="0">
        <references count="2">
          <reference field="4294967294" count="1" selected="0">
            <x v="1"/>
          </reference>
          <reference field="1" count="1" selected="0">
            <x v="6"/>
          </reference>
        </references>
      </pivotArea>
    </chartFormat>
    <chartFormat chart="8" format="86" series="1">
      <pivotArea type="data" outline="0" fieldPosition="0">
        <references count="2">
          <reference field="4294967294" count="1" selected="0">
            <x v="2"/>
          </reference>
          <reference field="1" count="1" selected="0">
            <x v="5"/>
          </reference>
        </references>
      </pivotArea>
    </chartFormat>
    <chartFormat chart="8" format="87" series="1">
      <pivotArea type="data" outline="0" fieldPosition="0">
        <references count="2">
          <reference field="4294967294" count="1" selected="0">
            <x v="2"/>
          </reference>
          <reference field="1" count="1" selected="0">
            <x v="4"/>
          </reference>
        </references>
      </pivotArea>
    </chartFormat>
    <chartFormat chart="8" format="88" series="1">
      <pivotArea type="data" outline="0" fieldPosition="0">
        <references count="2">
          <reference field="4294967294" count="1" selected="0">
            <x v="2"/>
          </reference>
          <reference field="1" count="1" selected="0">
            <x v="0"/>
          </reference>
        </references>
      </pivotArea>
    </chartFormat>
    <chartFormat chart="8" format="89" series="1">
      <pivotArea type="data" outline="0" fieldPosition="0">
        <references count="2">
          <reference field="4294967294" count="1" selected="0">
            <x v="2"/>
          </reference>
          <reference field="1" count="1" selected="0">
            <x v="1"/>
          </reference>
        </references>
      </pivotArea>
    </chartFormat>
    <chartFormat chart="8" format="90" series="1">
      <pivotArea type="data" outline="0" fieldPosition="0">
        <references count="2">
          <reference field="4294967294" count="1" selected="0">
            <x v="2"/>
          </reference>
          <reference field="1" count="1" selected="0">
            <x v="2"/>
          </reference>
        </references>
      </pivotArea>
    </chartFormat>
    <chartFormat chart="8" format="91" series="1">
      <pivotArea type="data" outline="0" fieldPosition="0">
        <references count="2">
          <reference field="4294967294" count="1" selected="0">
            <x v="2"/>
          </reference>
          <reference field="1" count="1" selected="0">
            <x v="3"/>
          </reference>
        </references>
      </pivotArea>
    </chartFormat>
    <chartFormat chart="8" format="92" series="1">
      <pivotArea type="data" outline="0" fieldPosition="0">
        <references count="2">
          <reference field="4294967294" count="1" selected="0">
            <x v="2"/>
          </reference>
          <reference field="1" count="1" selected="0">
            <x v="6"/>
          </reference>
        </references>
      </pivotArea>
    </chartFormat>
    <chartFormat chart="9" format="93" series="1">
      <pivotArea type="data" outline="0" fieldPosition="0">
        <references count="2">
          <reference field="4294967294" count="1" selected="0">
            <x v="0"/>
          </reference>
          <reference field="1" count="1" selected="0">
            <x v="5"/>
          </reference>
        </references>
      </pivotArea>
    </chartFormat>
    <chartFormat chart="9" format="94" series="1">
      <pivotArea type="data" outline="0" fieldPosition="0">
        <references count="2">
          <reference field="4294967294" count="1" selected="0">
            <x v="0"/>
          </reference>
          <reference field="1" count="1" selected="0">
            <x v="4"/>
          </reference>
        </references>
      </pivotArea>
    </chartFormat>
    <chartFormat chart="9" format="95" series="1">
      <pivotArea type="data" outline="0" fieldPosition="0">
        <references count="2">
          <reference field="4294967294" count="1" selected="0">
            <x v="0"/>
          </reference>
          <reference field="1" count="1" selected="0">
            <x v="0"/>
          </reference>
        </references>
      </pivotArea>
    </chartFormat>
    <chartFormat chart="9" format="96" series="1">
      <pivotArea type="data" outline="0" fieldPosition="0">
        <references count="2">
          <reference field="4294967294" count="1" selected="0">
            <x v="0"/>
          </reference>
          <reference field="1" count="1" selected="0">
            <x v="1"/>
          </reference>
        </references>
      </pivotArea>
    </chartFormat>
    <chartFormat chart="9" format="97" series="1">
      <pivotArea type="data" outline="0" fieldPosition="0">
        <references count="2">
          <reference field="4294967294" count="1" selected="0">
            <x v="0"/>
          </reference>
          <reference field="1" count="1" selected="0">
            <x v="2"/>
          </reference>
        </references>
      </pivotArea>
    </chartFormat>
    <chartFormat chart="9" format="98" series="1">
      <pivotArea type="data" outline="0" fieldPosition="0">
        <references count="2">
          <reference field="4294967294" count="1" selected="0">
            <x v="0"/>
          </reference>
          <reference field="1" count="1" selected="0">
            <x v="3"/>
          </reference>
        </references>
      </pivotArea>
    </chartFormat>
    <chartFormat chart="9" format="99" series="1">
      <pivotArea type="data" outline="0" fieldPosition="0">
        <references count="2">
          <reference field="4294967294" count="1" selected="0">
            <x v="0"/>
          </reference>
          <reference field="1" count="1" selected="0">
            <x v="6"/>
          </reference>
        </references>
      </pivotArea>
    </chartFormat>
    <chartFormat chart="9" format="100" series="1">
      <pivotArea type="data" outline="0" fieldPosition="0">
        <references count="2">
          <reference field="4294967294" count="1" selected="0">
            <x v="1"/>
          </reference>
          <reference field="1" count="1" selected="0">
            <x v="5"/>
          </reference>
        </references>
      </pivotArea>
    </chartFormat>
    <chartFormat chart="9" format="101" series="1">
      <pivotArea type="data" outline="0" fieldPosition="0">
        <references count="2">
          <reference field="4294967294" count="1" selected="0">
            <x v="1"/>
          </reference>
          <reference field="1" count="1" selected="0">
            <x v="4"/>
          </reference>
        </references>
      </pivotArea>
    </chartFormat>
    <chartFormat chart="9" format="102" series="1">
      <pivotArea type="data" outline="0" fieldPosition="0">
        <references count="2">
          <reference field="4294967294" count="1" selected="0">
            <x v="1"/>
          </reference>
          <reference field="1" count="1" selected="0">
            <x v="0"/>
          </reference>
        </references>
      </pivotArea>
    </chartFormat>
    <chartFormat chart="9" format="103" series="1">
      <pivotArea type="data" outline="0" fieldPosition="0">
        <references count="2">
          <reference field="4294967294" count="1" selected="0">
            <x v="1"/>
          </reference>
          <reference field="1" count="1" selected="0">
            <x v="1"/>
          </reference>
        </references>
      </pivotArea>
    </chartFormat>
    <chartFormat chart="9" format="104" series="1">
      <pivotArea type="data" outline="0" fieldPosition="0">
        <references count="2">
          <reference field="4294967294" count="1" selected="0">
            <x v="1"/>
          </reference>
          <reference field="1" count="1" selected="0">
            <x v="2"/>
          </reference>
        </references>
      </pivotArea>
    </chartFormat>
    <chartFormat chart="9" format="105" series="1">
      <pivotArea type="data" outline="0" fieldPosition="0">
        <references count="2">
          <reference field="4294967294" count="1" selected="0">
            <x v="1"/>
          </reference>
          <reference field="1" count="1" selected="0">
            <x v="3"/>
          </reference>
        </references>
      </pivotArea>
    </chartFormat>
    <chartFormat chart="9" format="106" series="1">
      <pivotArea type="data" outline="0" fieldPosition="0">
        <references count="2">
          <reference field="4294967294" count="1" selected="0">
            <x v="1"/>
          </reference>
          <reference field="1" count="1" selected="0">
            <x v="6"/>
          </reference>
        </references>
      </pivotArea>
    </chartFormat>
    <chartFormat chart="9" format="107" series="1">
      <pivotArea type="data" outline="0" fieldPosition="0">
        <references count="2">
          <reference field="4294967294" count="1" selected="0">
            <x v="2"/>
          </reference>
          <reference field="1" count="1" selected="0">
            <x v="5"/>
          </reference>
        </references>
      </pivotArea>
    </chartFormat>
    <chartFormat chart="9" format="108" series="1">
      <pivotArea type="data" outline="0" fieldPosition="0">
        <references count="2">
          <reference field="4294967294" count="1" selected="0">
            <x v="2"/>
          </reference>
          <reference field="1" count="1" selected="0">
            <x v="4"/>
          </reference>
        </references>
      </pivotArea>
    </chartFormat>
    <chartFormat chart="9" format="109" series="1">
      <pivotArea type="data" outline="0" fieldPosition="0">
        <references count="2">
          <reference field="4294967294" count="1" selected="0">
            <x v="2"/>
          </reference>
          <reference field="1" count="1" selected="0">
            <x v="0"/>
          </reference>
        </references>
      </pivotArea>
    </chartFormat>
    <chartFormat chart="9" format="110" series="1">
      <pivotArea type="data" outline="0" fieldPosition="0">
        <references count="2">
          <reference field="4294967294" count="1" selected="0">
            <x v="2"/>
          </reference>
          <reference field="1" count="1" selected="0">
            <x v="1"/>
          </reference>
        </references>
      </pivotArea>
    </chartFormat>
    <chartFormat chart="9" format="111" series="1">
      <pivotArea type="data" outline="0" fieldPosition="0">
        <references count="2">
          <reference field="4294967294" count="1" selected="0">
            <x v="2"/>
          </reference>
          <reference field="1" count="1" selected="0">
            <x v="2"/>
          </reference>
        </references>
      </pivotArea>
    </chartFormat>
    <chartFormat chart="9" format="112" series="1">
      <pivotArea type="data" outline="0" fieldPosition="0">
        <references count="2">
          <reference field="4294967294" count="1" selected="0">
            <x v="2"/>
          </reference>
          <reference field="1" count="1" selected="0">
            <x v="3"/>
          </reference>
        </references>
      </pivotArea>
    </chartFormat>
    <chartFormat chart="9" format="113" series="1">
      <pivotArea type="data" outline="0" fieldPosition="0">
        <references count="2">
          <reference field="4294967294" count="1" selected="0">
            <x v="2"/>
          </reference>
          <reference field="1" count="1" selected="0">
            <x v="6"/>
          </reference>
        </references>
      </pivotArea>
    </chartFormat>
  </chartFormats>
  <pivotHierarchies count="4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A2F84A-C4AB-4319-AA9B-4F5F8F670C33}" name="PivotTable11" cacheId="17" applyNumberFormats="0" applyBorderFormats="0" applyFontFormats="0" applyPatternFormats="0" applyAlignmentFormats="0" applyWidthHeightFormats="1" dataCaption="Values" tag="24fa48ef-f686-4f92-b610-4d38b2dd8de3" updatedVersion="8" minRefreshableVersion="3" useAutoFormatting="1" subtotalHiddenItems="1" itemPrintTitles="1" createdVersion="8" indent="0" outline="1" outlineData="1" multipleFieldFilters="0" chartFormat="40">
  <location ref="A4:B7" firstHeaderRow="1" firstDataRow="1" firstDataCol="1"/>
  <pivotFields count="6">
    <pivotField dataField="1" subtotalTop="0" showAll="0" defaultSubtotal="0"/>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7">
        <item x="0"/>
        <item x="1"/>
        <item s="1" x="2"/>
        <item s="1" x="3"/>
        <item s="1" x="4"/>
        <item s="1"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3">
    <i>
      <x/>
    </i>
    <i>
      <x v="1"/>
    </i>
    <i t="grand">
      <x/>
    </i>
  </rowItems>
  <colItems count="1">
    <i/>
  </colItems>
  <dataFields count="1">
    <dataField name="Sum of Utilization_Rate(%)" fld="0"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3">
          <reference field="4294967294" count="1" selected="0">
            <x v="0"/>
          </reference>
          <reference field="1"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0"/>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pivotArea type="data" outline="0" fieldPosition="0">
        <references count="3">
          <reference field="4294967294" count="1" selected="0">
            <x v="0"/>
          </reference>
          <reference field="1" count="1" selected="0">
            <x v="0"/>
          </reference>
          <reference field="2" count="1" selected="0">
            <x v="0"/>
          </reference>
        </references>
      </pivotArea>
    </chartFormat>
    <chartFormat chart="0" format="8">
      <pivotArea type="data" outline="0" fieldPosition="0">
        <references count="3">
          <reference field="4294967294" count="1" selected="0">
            <x v="0"/>
          </reference>
          <reference field="1" count="1" selected="0">
            <x v="2"/>
          </reference>
          <reference field="2" count="1" selected="0">
            <x v="0"/>
          </reference>
        </references>
      </pivotArea>
    </chartFormat>
    <chartFormat chart="0" format="9">
      <pivotArea type="data" outline="0" fieldPosition="0">
        <references count="3">
          <reference field="4294967294" count="1" selected="0">
            <x v="0"/>
          </reference>
          <reference field="1" count="1" selected="0">
            <x v="2"/>
          </reference>
          <reference field="2" count="1" selected="0">
            <x v="1"/>
          </reference>
        </references>
      </pivotArea>
    </chartFormat>
    <chartFormat chart="0" format="10">
      <pivotArea type="data" outline="0" fieldPosition="0">
        <references count="3">
          <reference field="4294967294" count="1" selected="0">
            <x v="0"/>
          </reference>
          <reference field="1" count="1" selected="0">
            <x v="0"/>
          </reference>
          <reference field="2" count="1" selected="0">
            <x v="2"/>
          </reference>
        </references>
      </pivotArea>
    </chartFormat>
    <chartFormat chart="0" format="11">
      <pivotArea type="data" outline="0" fieldPosition="0">
        <references count="3">
          <reference field="4294967294" count="1" selected="0">
            <x v="0"/>
          </reference>
          <reference field="1" count="1" selected="0">
            <x v="2"/>
          </reference>
          <reference field="2" count="1" selected="0">
            <x v="2"/>
          </reference>
        </references>
      </pivotArea>
    </chartFormat>
    <chartFormat chart="29" format="12" series="1">
      <pivotArea type="data" outline="0" fieldPosition="0">
        <references count="2">
          <reference field="4294967294" count="1" selected="0">
            <x v="0"/>
          </reference>
          <reference field="2" count="1" selected="0">
            <x v="1"/>
          </reference>
        </references>
      </pivotArea>
    </chartFormat>
    <chartFormat chart="30" format="13" series="1">
      <pivotArea type="data" outline="0" fieldPosition="0">
        <references count="2">
          <reference field="4294967294" count="1" selected="0">
            <x v="0"/>
          </reference>
          <reference field="2" count="1" selected="0">
            <x v="1"/>
          </reference>
        </references>
      </pivotArea>
    </chartFormat>
    <chartFormat chart="30" format="14" series="1">
      <pivotArea type="data" outline="0" fieldPosition="0">
        <references count="2">
          <reference field="4294967294" count="1" selected="0">
            <x v="0"/>
          </reference>
          <reference field="2" count="1" selected="0">
            <x v="4"/>
          </reference>
        </references>
      </pivotArea>
    </chartFormat>
    <chartFormat chart="29" format="13" series="1">
      <pivotArea type="data" outline="0" fieldPosition="0">
        <references count="2">
          <reference field="4294967294" count="1" selected="0">
            <x v="0"/>
          </reference>
          <reference field="2" count="1" selected="0">
            <x v="4"/>
          </reference>
        </references>
      </pivotArea>
    </chartFormat>
    <chartFormat chart="30" format="15" series="1">
      <pivotArea type="data" outline="0" fieldPosition="0">
        <references count="2">
          <reference field="4294967294" count="1" selected="0">
            <x v="0"/>
          </reference>
          <reference field="2" count="1" selected="0">
            <x v="5"/>
          </reference>
        </references>
      </pivotArea>
    </chartFormat>
    <chartFormat chart="29" format="14" series="1">
      <pivotArea type="data" outline="0" fieldPosition="0">
        <references count="2">
          <reference field="4294967294" count="1" selected="0">
            <x v="0"/>
          </reference>
          <reference field="2" count="1" selected="0">
            <x v="5"/>
          </reference>
        </references>
      </pivotArea>
    </chartFormat>
    <chartFormat chart="30" format="16" series="1">
      <pivotArea type="data" outline="0" fieldPosition="0">
        <references count="2">
          <reference field="4294967294" count="1" selected="0">
            <x v="0"/>
          </reference>
          <reference field="2" count="1" selected="0">
            <x v="6"/>
          </reference>
        </references>
      </pivotArea>
    </chartFormat>
    <chartFormat chart="29" format="15" series="1">
      <pivotArea type="data" outline="0" fieldPosition="0">
        <references count="2">
          <reference field="4294967294" count="1" selected="0">
            <x v="0"/>
          </reference>
          <reference field="2" count="1" selected="0">
            <x v="6"/>
          </reference>
        </references>
      </pivotArea>
    </chartFormat>
    <chartFormat chart="0" format="12" series="1">
      <pivotArea type="data" outline="0" fieldPosition="0">
        <references count="2">
          <reference field="4294967294" count="1" selected="0">
            <x v="0"/>
          </reference>
          <reference field="2" count="1" selected="0">
            <x v="4"/>
          </reference>
        </references>
      </pivotArea>
    </chartFormat>
    <chartFormat chart="0" format="13" series="1">
      <pivotArea type="data" outline="0" fieldPosition="0">
        <references count="2">
          <reference field="4294967294" count="1" selected="0">
            <x v="0"/>
          </reference>
          <reference field="2" count="1" selected="0">
            <x v="5"/>
          </reference>
        </references>
      </pivotArea>
    </chartFormat>
    <chartFormat chart="0" format="14" series="1">
      <pivotArea type="data" outline="0" fieldPosition="0">
        <references count="2">
          <reference field="4294967294" count="1" selected="0">
            <x v="0"/>
          </reference>
          <reference field="2" count="1" selected="0">
            <x v="6"/>
          </reference>
        </references>
      </pivotArea>
    </chartFormat>
    <chartFormat chart="30" format="17" series="1">
      <pivotArea type="data" outline="0" fieldPosition="0">
        <references count="2">
          <reference field="4294967294" count="1" selected="0">
            <x v="0"/>
          </reference>
          <reference field="2" count="1" selected="0">
            <x v="0"/>
          </reference>
        </references>
      </pivotArea>
    </chartFormat>
    <chartFormat chart="30" format="18" series="1">
      <pivotArea type="data" outline="0" fieldPosition="0">
        <references count="2">
          <reference field="4294967294" count="1" selected="0">
            <x v="0"/>
          </reference>
          <reference field="2" count="1" selected="0">
            <x v="2"/>
          </reference>
        </references>
      </pivotArea>
    </chartFormat>
    <chartFormat chart="30" format="19" series="1">
      <pivotArea type="data" outline="0" fieldPosition="0">
        <references count="1">
          <reference field="4294967294" count="1" selected="0">
            <x v="0"/>
          </reference>
        </references>
      </pivotArea>
    </chartFormat>
    <chartFormat chart="38" format="20" series="1">
      <pivotArea type="data" outline="0" fieldPosition="0">
        <references count="1">
          <reference field="4294967294" count="1" selected="0">
            <x v="0"/>
          </reference>
        </references>
      </pivotArea>
    </chartFormat>
    <chartFormat chart="39" format="21"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2" level="1">
        <member name="[Range].[Equipment_Name].&amp;[CT Scanner]"/>
        <member name="[Range].[Equipment_Name].&amp;[Defibrillator]"/>
      </members>
    </pivotHierarchy>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323829-AD21-4F32-9A4E-993533BB7112}" name="PivotTable17" cacheId="32" applyNumberFormats="0" applyBorderFormats="0" applyFontFormats="0" applyPatternFormats="0" applyAlignmentFormats="0" applyWidthHeightFormats="1" dataCaption="Values" tag="e73d761b-0d3e-49d6-a824-219565f58f8b" updatedVersion="8" minRefreshableVersion="3" useAutoFormatting="1" subtotalHiddenItems="1" itemPrintTitles="1" createdVersion="8" indent="0" outline="1" outlineData="1" multipleFieldFilters="0" chartFormat="46">
  <location ref="AO5:AS13" firstHeaderRow="1" firstDataRow="2" firstDataCol="1"/>
  <pivotFields count="6">
    <pivotField axis="axisCol" allDrilled="1" subtotalTop="0" showAll="0" dataSourceSort="1" defaultSubtotal="0" defaultAttributeDrillState="1">
      <items count="7">
        <item s="1" x="0"/>
        <item s="1" x="1"/>
        <item s="1" x="2"/>
        <item s="1" x="3"/>
        <item x="4"/>
        <item x="5"/>
        <item s="1" x="6"/>
      </items>
    </pivotField>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s="1" x="0"/>
        <item s="1" x="1"/>
        <item x="2"/>
      </items>
    </pivotField>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7">
    <i>
      <x/>
    </i>
    <i r="1">
      <x/>
    </i>
    <i r="1">
      <x v="1"/>
    </i>
    <i>
      <x v="1"/>
    </i>
    <i r="1">
      <x/>
    </i>
    <i r="1">
      <x v="1"/>
    </i>
    <i t="grand">
      <x/>
    </i>
  </rowItems>
  <colFields count="1">
    <field x="0"/>
  </colFields>
  <colItems count="4">
    <i>
      <x/>
    </i>
    <i>
      <x v="1"/>
    </i>
    <i>
      <x v="2"/>
    </i>
    <i t="grand">
      <x/>
    </i>
  </colItems>
  <dataFields count="1">
    <dataField name="Count of Maintenance_Type" fld="1" subtotal="count" baseField="0" baseItem="0"/>
  </dataFields>
  <chartFormats count="50">
    <chartFormat chart="37" format="116" series="1">
      <pivotArea type="data" outline="0" fieldPosition="0">
        <references count="1">
          <reference field="4294967294" count="1" selected="0">
            <x v="0"/>
          </reference>
        </references>
      </pivotArea>
    </chartFormat>
    <chartFormat chart="32" format="40" series="1">
      <pivotArea type="data" outline="0" fieldPosition="0">
        <references count="1">
          <reference field="4294967294" count="1" selected="0">
            <x v="0"/>
          </reference>
        </references>
      </pivotArea>
    </chartFormat>
    <chartFormat chart="30" format="38" series="1">
      <pivotArea type="data" outline="0" fieldPosition="0">
        <references count="1">
          <reference field="4294967294" count="1" selected="0">
            <x v="0"/>
          </reference>
        </references>
      </pivotArea>
    </chartFormat>
    <chartFormat chart="29" format="38" series="1">
      <pivotArea type="data" outline="0" fieldPosition="0">
        <references count="1">
          <reference field="4294967294" count="1" selected="0">
            <x v="0"/>
          </reference>
        </references>
      </pivotArea>
    </chartFormat>
    <chartFormat chart="37" format="117">
      <pivotArea type="data" outline="0" fieldPosition="0">
        <references count="3">
          <reference field="4294967294" count="1" selected="0">
            <x v="0"/>
          </reference>
          <reference field="0" count="1" selected="0">
            <x v="3"/>
          </reference>
          <reference field="2" count="1" selected="0">
            <x v="1"/>
          </reference>
        </references>
      </pivotArea>
    </chartFormat>
    <chartFormat chart="37" format="118" series="1">
      <pivotArea type="data" outline="0" fieldPosition="0">
        <references count="2">
          <reference field="4294967294" count="1" selected="0">
            <x v="0"/>
          </reference>
          <reference field="0" count="1" selected="0">
            <x v="0"/>
          </reference>
        </references>
      </pivotArea>
    </chartFormat>
    <chartFormat chart="37" format="119" series="1">
      <pivotArea type="data" outline="0" fieldPosition="0">
        <references count="2">
          <reference field="4294967294" count="1" selected="0">
            <x v="0"/>
          </reference>
          <reference field="0" count="1" selected="0">
            <x v="5"/>
          </reference>
        </references>
      </pivotArea>
    </chartFormat>
    <chartFormat chart="37" format="120" series="1">
      <pivotArea type="data" outline="0" fieldPosition="0">
        <references count="2">
          <reference field="4294967294" count="1" selected="0">
            <x v="0"/>
          </reference>
          <reference field="0" count="1" selected="0">
            <x v="6"/>
          </reference>
        </references>
      </pivotArea>
    </chartFormat>
    <chartFormat chart="37" format="121" series="1">
      <pivotArea type="data" outline="0" fieldPosition="0">
        <references count="2">
          <reference field="4294967294" count="1" selected="0">
            <x v="0"/>
          </reference>
          <reference field="0" count="1" selected="0">
            <x v="2"/>
          </reference>
        </references>
      </pivotArea>
    </chartFormat>
    <chartFormat chart="32" format="41" series="1">
      <pivotArea type="data" outline="0" fieldPosition="0">
        <references count="2">
          <reference field="4294967294" count="1" selected="0">
            <x v="0"/>
          </reference>
          <reference field="0" count="1" selected="0">
            <x v="0"/>
          </reference>
        </references>
      </pivotArea>
    </chartFormat>
    <chartFormat chart="32" format="42" series="1">
      <pivotArea type="data" outline="0" fieldPosition="0">
        <references count="2">
          <reference field="4294967294" count="1" selected="0">
            <x v="0"/>
          </reference>
          <reference field="0" count="1" selected="0">
            <x v="5"/>
          </reference>
        </references>
      </pivotArea>
    </chartFormat>
    <chartFormat chart="32" format="43" series="1">
      <pivotArea type="data" outline="0" fieldPosition="0">
        <references count="2">
          <reference field="4294967294" count="1" selected="0">
            <x v="0"/>
          </reference>
          <reference field="0" count="1" selected="0">
            <x v="6"/>
          </reference>
        </references>
      </pivotArea>
    </chartFormat>
    <chartFormat chart="32" format="44" series="1">
      <pivotArea type="data" outline="0" fieldPosition="0">
        <references count="2">
          <reference field="4294967294" count="1" selected="0">
            <x v="0"/>
          </reference>
          <reference field="0" count="1" selected="0">
            <x v="2"/>
          </reference>
        </references>
      </pivotArea>
    </chartFormat>
    <chartFormat chart="30" format="39" series="1">
      <pivotArea type="data" outline="0" fieldPosition="0">
        <references count="2">
          <reference field="4294967294" count="1" selected="0">
            <x v="0"/>
          </reference>
          <reference field="0" count="1" selected="0">
            <x v="0"/>
          </reference>
        </references>
      </pivotArea>
    </chartFormat>
    <chartFormat chart="30" format="40" series="1">
      <pivotArea type="data" outline="0" fieldPosition="0">
        <references count="2">
          <reference field="4294967294" count="1" selected="0">
            <x v="0"/>
          </reference>
          <reference field="0" count="1" selected="0">
            <x v="5"/>
          </reference>
        </references>
      </pivotArea>
    </chartFormat>
    <chartFormat chart="30" format="41" series="1">
      <pivotArea type="data" outline="0" fieldPosition="0">
        <references count="2">
          <reference field="4294967294" count="1" selected="0">
            <x v="0"/>
          </reference>
          <reference field="0" count="1" selected="0">
            <x v="6"/>
          </reference>
        </references>
      </pivotArea>
    </chartFormat>
    <chartFormat chart="30" format="42" series="1">
      <pivotArea type="data" outline="0" fieldPosition="0">
        <references count="2">
          <reference field="4294967294" count="1" selected="0">
            <x v="0"/>
          </reference>
          <reference field="0" count="1" selected="0">
            <x v="2"/>
          </reference>
        </references>
      </pivotArea>
    </chartFormat>
    <chartFormat chart="29" format="39" series="1">
      <pivotArea type="data" outline="0" fieldPosition="0">
        <references count="2">
          <reference field="4294967294" count="1" selected="0">
            <x v="0"/>
          </reference>
          <reference field="0" count="1" selected="0">
            <x v="0"/>
          </reference>
        </references>
      </pivotArea>
    </chartFormat>
    <chartFormat chart="29" format="40" series="1">
      <pivotArea type="data" outline="0" fieldPosition="0">
        <references count="2">
          <reference field="4294967294" count="1" selected="0">
            <x v="0"/>
          </reference>
          <reference field="0" count="1" selected="0">
            <x v="5"/>
          </reference>
        </references>
      </pivotArea>
    </chartFormat>
    <chartFormat chart="29" format="41" series="1">
      <pivotArea type="data" outline="0" fieldPosition="0">
        <references count="2">
          <reference field="4294967294" count="1" selected="0">
            <x v="0"/>
          </reference>
          <reference field="0" count="1" selected="0">
            <x v="6"/>
          </reference>
        </references>
      </pivotArea>
    </chartFormat>
    <chartFormat chart="29" format="42" series="1">
      <pivotArea type="data" outline="0" fieldPosition="0">
        <references count="2">
          <reference field="4294967294" count="1" selected="0">
            <x v="0"/>
          </reference>
          <reference field="0" count="1" selected="0">
            <x v="2"/>
          </reference>
        </references>
      </pivotArea>
    </chartFormat>
    <chartFormat chart="37" format="122" series="1">
      <pivotArea type="data" outline="0" fieldPosition="0">
        <references count="2">
          <reference field="4294967294" count="1" selected="0">
            <x v="0"/>
          </reference>
          <reference field="0" count="1" selected="0">
            <x v="4"/>
          </reference>
        </references>
      </pivotArea>
    </chartFormat>
    <chartFormat chart="32" format="45" series="1">
      <pivotArea type="data" outline="0" fieldPosition="0">
        <references count="2">
          <reference field="4294967294" count="1" selected="0">
            <x v="0"/>
          </reference>
          <reference field="0" count="1" selected="0">
            <x v="4"/>
          </reference>
        </references>
      </pivotArea>
    </chartFormat>
    <chartFormat chart="30" format="43" series="1">
      <pivotArea type="data" outline="0" fieldPosition="0">
        <references count="2">
          <reference field="4294967294" count="1" selected="0">
            <x v="0"/>
          </reference>
          <reference field="0" count="1" selected="0">
            <x v="4"/>
          </reference>
        </references>
      </pivotArea>
    </chartFormat>
    <chartFormat chart="29" format="43" series="1">
      <pivotArea type="data" outline="0" fieldPosition="0">
        <references count="2">
          <reference field="4294967294" count="1" selected="0">
            <x v="0"/>
          </reference>
          <reference field="0" count="1" selected="0">
            <x v="4"/>
          </reference>
        </references>
      </pivotArea>
    </chartFormat>
    <chartFormat chart="37" format="123" series="1">
      <pivotArea type="data" outline="0" fieldPosition="0">
        <references count="2">
          <reference field="4294967294" count="1" selected="0">
            <x v="0"/>
          </reference>
          <reference field="0" count="1" selected="0">
            <x v="3"/>
          </reference>
        </references>
      </pivotArea>
    </chartFormat>
    <chartFormat chart="37" format="124" series="1">
      <pivotArea type="data" outline="0" fieldPosition="0">
        <references count="2">
          <reference field="4294967294" count="1" selected="0">
            <x v="0"/>
          </reference>
          <reference field="0" count="1" selected="0">
            <x v="1"/>
          </reference>
        </references>
      </pivotArea>
    </chartFormat>
    <chartFormat chart="32" format="46" series="1">
      <pivotArea type="data" outline="0" fieldPosition="0">
        <references count="2">
          <reference field="4294967294" count="1" selected="0">
            <x v="0"/>
          </reference>
          <reference field="0" count="1" selected="0">
            <x v="3"/>
          </reference>
        </references>
      </pivotArea>
    </chartFormat>
    <chartFormat chart="32" format="47" series="1">
      <pivotArea type="data" outline="0" fieldPosition="0">
        <references count="2">
          <reference field="4294967294" count="1" selected="0">
            <x v="0"/>
          </reference>
          <reference field="0" count="1" selected="0">
            <x v="1"/>
          </reference>
        </references>
      </pivotArea>
    </chartFormat>
    <chartFormat chart="30" format="44" series="1">
      <pivotArea type="data" outline="0" fieldPosition="0">
        <references count="2">
          <reference field="4294967294" count="1" selected="0">
            <x v="0"/>
          </reference>
          <reference field="0" count="1" selected="0">
            <x v="3"/>
          </reference>
        </references>
      </pivotArea>
    </chartFormat>
    <chartFormat chart="30" format="45" series="1">
      <pivotArea type="data" outline="0" fieldPosition="0">
        <references count="2">
          <reference field="4294967294" count="1" selected="0">
            <x v="0"/>
          </reference>
          <reference field="0" count="1" selected="0">
            <x v="1"/>
          </reference>
        </references>
      </pivotArea>
    </chartFormat>
    <chartFormat chart="29" format="44" series="1">
      <pivotArea type="data" outline="0" fieldPosition="0">
        <references count="2">
          <reference field="4294967294" count="1" selected="0">
            <x v="0"/>
          </reference>
          <reference field="0" count="1" selected="0">
            <x v="3"/>
          </reference>
        </references>
      </pivotArea>
    </chartFormat>
    <chartFormat chart="29" format="45" series="1">
      <pivotArea type="data" outline="0" fieldPosition="0">
        <references count="2">
          <reference field="4294967294" count="1" selected="0">
            <x v="0"/>
          </reference>
          <reference field="0" count="1" selected="0">
            <x v="1"/>
          </reference>
        </references>
      </pivotArea>
    </chartFormat>
    <chartFormat chart="37" format="125">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37" format="126">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29" format="46">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29" format="47">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30" format="46">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30" format="47">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32" format="48">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32" format="49">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44" format="127" series="1">
      <pivotArea type="data" outline="0" fieldPosition="0">
        <references count="2">
          <reference field="4294967294" count="1" selected="0">
            <x v="0"/>
          </reference>
          <reference field="0" count="1" selected="0">
            <x v="3"/>
          </reference>
        </references>
      </pivotArea>
    </chartFormat>
    <chartFormat chart="44" format="128">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44" format="129">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45" format="130" series="1">
      <pivotArea type="data" outline="0" fieldPosition="0">
        <references count="2">
          <reference field="4294967294" count="1" selected="0">
            <x v="0"/>
          </reference>
          <reference field="0" count="1" selected="0">
            <x v="3"/>
          </reference>
        </references>
      </pivotArea>
    </chartFormat>
    <chartFormat chart="45" format="131">
      <pivotArea type="data" outline="0" fieldPosition="0">
        <references count="4">
          <reference field="4294967294" count="1" selected="0">
            <x v="0"/>
          </reference>
          <reference field="0" count="1" selected="0">
            <x v="3"/>
          </reference>
          <reference field="2" count="1" selected="0">
            <x v="0"/>
          </reference>
          <reference field="3" count="1" selected="0">
            <x v="2"/>
          </reference>
        </references>
      </pivotArea>
    </chartFormat>
    <chartFormat chart="45" format="132">
      <pivotArea type="data" outline="0" fieldPosition="0">
        <references count="4">
          <reference field="4294967294" count="1" selected="0">
            <x v="0"/>
          </reference>
          <reference field="0" count="1" selected="0">
            <x v="3"/>
          </reference>
          <reference field="2" count="1" selected="0">
            <x v="1"/>
          </reference>
          <reference field="3" count="1" selected="0">
            <x v="2"/>
          </reference>
        </references>
      </pivotArea>
    </chartFormat>
    <chartFormat chart="45" format="133" series="1">
      <pivotArea type="data" outline="0" fieldPosition="0">
        <references count="2">
          <reference field="4294967294" count="1" selected="0">
            <x v="0"/>
          </reference>
          <reference field="0" count="1" selected="0">
            <x v="0"/>
          </reference>
        </references>
      </pivotArea>
    </chartFormat>
    <chartFormat chart="45" format="134" series="1">
      <pivotArea type="data" outline="0" fieldPosition="0">
        <references count="2">
          <reference field="4294967294" count="1" selected="0">
            <x v="0"/>
          </reference>
          <reference field="0" count="1" selected="0">
            <x v="1"/>
          </reference>
        </references>
      </pivotArea>
    </chartFormat>
    <chartFormat chart="45" format="135" series="1">
      <pivotArea type="data" outline="0" fieldPosition="0">
        <references count="2">
          <reference field="4294967294" count="1" selected="0">
            <x v="0"/>
          </reference>
          <reference field="0" count="1" selected="0">
            <x v="2"/>
          </reference>
        </references>
      </pivotArea>
    </chartFormat>
  </chartFormats>
  <pivotHierarchies count="48">
    <pivotHierarchy dragToData="1"/>
    <pivotHierarchy multipleItemSelectionAllowed="1" dragToData="1"/>
    <pivotHierarchy multipleItemSelectionAllowed="1" dragToData="1">
      <members count="4" level="1">
        <member name="[Range].[Department].&amp;[General Ward]"/>
        <member name="[Range].[Department].&amp;[ICU]"/>
        <member name="[Range].[Department].&amp;[Nephrology]"/>
        <member name="[Range].[Department].&amp;[OT]"/>
      </members>
    </pivotHierarchy>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CCACCD-AF49-4C5B-83EB-05ACBA33A743}" name="PivotTable14" cacheId="26" applyNumberFormats="0" applyBorderFormats="0" applyFontFormats="0" applyPatternFormats="0" applyAlignmentFormats="0" applyWidthHeightFormats="1" dataCaption="Values" tag="872dac4c-0b82-413b-90bb-382d04fd8af0" updatedVersion="8" minRefreshableVersion="3" useAutoFormatting="1" subtotalHiddenItems="1" itemPrintTitles="1" createdVersion="8" indent="0" outline="1" outlineData="1" multipleFieldFilters="0" chartFormat="12">
  <location ref="AD5:AM9" firstHeaderRow="1" firstDataRow="2" firstDataCol="1" rowPageCount="1" colPageCount="1"/>
  <pivotFields count="8">
    <pivotField axis="axisRow" allDrilled="1" subtotalTop="0" showAll="0" dataSourceSort="1" defaultSubtotal="0">
      <items count="2">
        <item s="1" x="0" e="0"/>
        <item s="1" x="1" e="0"/>
      </items>
    </pivotField>
    <pivotField axis="axisCol"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3">
    <i>
      <x/>
    </i>
    <i>
      <x v="1"/>
    </i>
    <i t="grand">
      <x/>
    </i>
  </rowItems>
  <colFields count="1">
    <field x="1"/>
  </colFields>
  <colItems count="9">
    <i>
      <x/>
    </i>
    <i>
      <x v="1"/>
    </i>
    <i>
      <x v="2"/>
    </i>
    <i>
      <x v="3"/>
    </i>
    <i>
      <x v="4"/>
    </i>
    <i>
      <x v="5"/>
    </i>
    <i>
      <x v="6"/>
    </i>
    <i>
      <x v="7"/>
    </i>
    <i t="grand">
      <x/>
    </i>
  </colItems>
  <pageFields count="1">
    <pageField fld="4" hier="3" name="[Range].[Date].[All]" cap="All"/>
  </pageFields>
  <dataFields count="1">
    <dataField name="Sum of Downtime_Rate(%)" fld="3" baseField="0" baseItem="0"/>
  </dataFields>
  <chartFormats count="104">
    <chartFormat chart="0" format="56" series="1">
      <pivotArea type="data" outline="0" fieldPosition="0">
        <references count="2">
          <reference field="4294967294" count="1" selected="0">
            <x v="0"/>
          </reference>
          <reference field="2" count="1" selected="0">
            <x v="0"/>
          </reference>
        </references>
      </pivotArea>
    </chartFormat>
    <chartFormat chart="0" format="57" series="1">
      <pivotArea type="data" outline="0" fieldPosition="0">
        <references count="2">
          <reference field="4294967294" count="1" selected="0">
            <x v="0"/>
          </reference>
          <reference field="2" count="1" selected="0">
            <x v="1"/>
          </reference>
        </references>
      </pivotArea>
    </chartFormat>
    <chartFormat chart="0" format="58" series="1">
      <pivotArea type="data" outline="0" fieldPosition="0">
        <references count="2">
          <reference field="4294967294" count="1" selected="0">
            <x v="0"/>
          </reference>
          <reference field="2" count="1" selected="0">
            <x v="2"/>
          </reference>
        </references>
      </pivotArea>
    </chartFormat>
    <chartFormat chart="0" format="59" series="1">
      <pivotArea type="data" outline="0" fieldPosition="0">
        <references count="2">
          <reference field="4294967294" count="1" selected="0">
            <x v="0"/>
          </reference>
          <reference field="2" count="1" selected="0">
            <x v="4"/>
          </reference>
        </references>
      </pivotArea>
    </chartFormat>
    <chartFormat chart="0" format="60" series="1">
      <pivotArea type="data" outline="0" fieldPosition="0">
        <references count="2">
          <reference field="4294967294" count="1" selected="0">
            <x v="0"/>
          </reference>
          <reference field="2" count="1" selected="0">
            <x v="3"/>
          </reference>
        </references>
      </pivotArea>
    </chartFormat>
    <chartFormat chart="0" format="61" series="1">
      <pivotArea type="data" outline="0" fieldPosition="0">
        <references count="2">
          <reference field="4294967294" count="1" selected="0">
            <x v="0"/>
          </reference>
          <reference field="2" count="1" selected="0">
            <x v="6"/>
          </reference>
        </references>
      </pivotArea>
    </chartFormat>
    <chartFormat chart="0" format="62" series="1">
      <pivotArea type="data" outline="0" fieldPosition="0">
        <references count="2">
          <reference field="4294967294" count="1" selected="0">
            <x v="0"/>
          </reference>
          <reference field="2" count="1" selected="0">
            <x v="5"/>
          </reference>
        </references>
      </pivotArea>
    </chartFormat>
    <chartFormat chart="0" format="63" series="1">
      <pivotArea type="data" outline="0" fieldPosition="0">
        <references count="2">
          <reference field="4294967294" count="1" selected="0">
            <x v="0"/>
          </reference>
          <reference field="2" count="1" selected="0">
            <x v="7"/>
          </reference>
        </references>
      </pivotArea>
    </chartFormat>
    <chartFormat chart="0" format="64"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65"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66"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67"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68" series="1">
      <pivotArea type="data" outline="0" fieldPosition="0">
        <references count="3">
          <reference field="4294967294" count="1" selected="0">
            <x v="0"/>
          </reference>
          <reference field="1" count="1" selected="0">
            <x v="4"/>
          </reference>
          <reference field="2" count="1" selected="0">
            <x v="1"/>
          </reference>
        </references>
      </pivotArea>
    </chartFormat>
    <chartFormat chart="0" format="69" series="1">
      <pivotArea type="data" outline="0" fieldPosition="0">
        <references count="3">
          <reference field="4294967294" count="1" selected="0">
            <x v="0"/>
          </reference>
          <reference field="1" count="1" selected="0">
            <x v="5"/>
          </reference>
          <reference field="2" count="1" selected="0">
            <x v="1"/>
          </reference>
        </references>
      </pivotArea>
    </chartFormat>
    <chartFormat chart="0" format="70" series="1">
      <pivotArea type="data" outline="0" fieldPosition="0">
        <references count="3">
          <reference field="4294967294" count="1" selected="0">
            <x v="0"/>
          </reference>
          <reference field="1" count="1" selected="0">
            <x v="6"/>
          </reference>
          <reference field="2" count="1" selected="0">
            <x v="1"/>
          </reference>
        </references>
      </pivotArea>
    </chartFormat>
    <chartFormat chart="0" format="71" series="1">
      <pivotArea type="data" outline="0" fieldPosition="0">
        <references count="3">
          <reference field="4294967294" count="1" selected="0">
            <x v="0"/>
          </reference>
          <reference field="1" count="1" selected="0">
            <x v="7"/>
          </reference>
          <reference field="2" count="1" selected="0">
            <x v="1"/>
          </reference>
        </references>
      </pivotArea>
    </chartFormat>
    <chartFormat chart="0" format="72"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7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74"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75" series="1">
      <pivotArea type="data" outline="0" fieldPosition="0">
        <references count="3">
          <reference field="4294967294" count="1" selected="0">
            <x v="0"/>
          </reference>
          <reference field="1" count="1" selected="0">
            <x v="3"/>
          </reference>
          <reference field="2" count="1" selected="0">
            <x v="2"/>
          </reference>
        </references>
      </pivotArea>
    </chartFormat>
    <chartFormat chart="0" format="76"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77" series="1">
      <pivotArea type="data" outline="0" fieldPosition="0">
        <references count="3">
          <reference field="4294967294" count="1" selected="0">
            <x v="0"/>
          </reference>
          <reference field="1" count="1" selected="0">
            <x v="5"/>
          </reference>
          <reference field="2" count="1" selected="0">
            <x v="2"/>
          </reference>
        </references>
      </pivotArea>
    </chartFormat>
    <chartFormat chart="0" format="78" series="1">
      <pivotArea type="data" outline="0" fieldPosition="0">
        <references count="3">
          <reference field="4294967294" count="1" selected="0">
            <x v="0"/>
          </reference>
          <reference field="1" count="1" selected="0">
            <x v="6"/>
          </reference>
          <reference field="2" count="1" selected="0">
            <x v="2"/>
          </reference>
        </references>
      </pivotArea>
    </chartFormat>
    <chartFormat chart="0" format="79" series="1">
      <pivotArea type="data" outline="0" fieldPosition="0">
        <references count="3">
          <reference field="4294967294" count="1" selected="0">
            <x v="0"/>
          </reference>
          <reference field="1" count="1" selected="0">
            <x v="7"/>
          </reference>
          <reference field="2" count="1" selected="0">
            <x v="2"/>
          </reference>
        </references>
      </pivotArea>
    </chartFormat>
    <chartFormat chart="0" format="80" series="1">
      <pivotArea type="data" outline="0" fieldPosition="0">
        <references count="3">
          <reference field="4294967294" count="1" selected="0">
            <x v="0"/>
          </reference>
          <reference field="1" count="1" selected="0">
            <x v="0"/>
          </reference>
          <reference field="2" count="1" selected="0">
            <x v="4"/>
          </reference>
        </references>
      </pivotArea>
    </chartFormat>
    <chartFormat chart="0" format="81"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82" series="1">
      <pivotArea type="data" outline="0" fieldPosition="0">
        <references count="3">
          <reference field="4294967294" count="1" selected="0">
            <x v="0"/>
          </reference>
          <reference field="1" count="1" selected="0">
            <x v="2"/>
          </reference>
          <reference field="2" count="1" selected="0">
            <x v="4"/>
          </reference>
        </references>
      </pivotArea>
    </chartFormat>
    <chartFormat chart="0" format="83" series="1">
      <pivotArea type="data" outline="0" fieldPosition="0">
        <references count="3">
          <reference field="4294967294" count="1" selected="0">
            <x v="0"/>
          </reference>
          <reference field="1" count="1" selected="0">
            <x v="3"/>
          </reference>
          <reference field="2" count="1" selected="0">
            <x v="4"/>
          </reference>
        </references>
      </pivotArea>
    </chartFormat>
    <chartFormat chart="0" format="84" series="1">
      <pivotArea type="data" outline="0" fieldPosition="0">
        <references count="3">
          <reference field="4294967294" count="1" selected="0">
            <x v="0"/>
          </reference>
          <reference field="1" count="1" selected="0">
            <x v="4"/>
          </reference>
          <reference field="2" count="1" selected="0">
            <x v="4"/>
          </reference>
        </references>
      </pivotArea>
    </chartFormat>
    <chartFormat chart="0" format="85" series="1">
      <pivotArea type="data" outline="0" fieldPosition="0">
        <references count="3">
          <reference field="4294967294" count="1" selected="0">
            <x v="0"/>
          </reference>
          <reference field="1" count="1" selected="0">
            <x v="5"/>
          </reference>
          <reference field="2" count="1" selected="0">
            <x v="4"/>
          </reference>
        </references>
      </pivotArea>
    </chartFormat>
    <chartFormat chart="0" format="86" series="1">
      <pivotArea type="data" outline="0" fieldPosition="0">
        <references count="3">
          <reference field="4294967294" count="1" selected="0">
            <x v="0"/>
          </reference>
          <reference field="1" count="1" selected="0">
            <x v="6"/>
          </reference>
          <reference field="2" count="1" selected="0">
            <x v="4"/>
          </reference>
        </references>
      </pivotArea>
    </chartFormat>
    <chartFormat chart="0" format="87" series="1">
      <pivotArea type="data" outline="0" fieldPosition="0">
        <references count="3">
          <reference field="4294967294" count="1" selected="0">
            <x v="0"/>
          </reference>
          <reference field="1" count="1" selected="0">
            <x v="7"/>
          </reference>
          <reference field="2" count="1" selected="0">
            <x v="4"/>
          </reference>
        </references>
      </pivotArea>
    </chartFormat>
    <chartFormat chart="0" format="88" series="1">
      <pivotArea type="data" outline="0" fieldPosition="0">
        <references count="3">
          <reference field="4294967294" count="1" selected="0">
            <x v="0"/>
          </reference>
          <reference field="1" count="1" selected="0">
            <x v="0"/>
          </reference>
          <reference field="2" count="1" selected="0">
            <x v="3"/>
          </reference>
        </references>
      </pivotArea>
    </chartFormat>
    <chartFormat chart="0" format="89"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90"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91"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92"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93" series="1">
      <pivotArea type="data" outline="0" fieldPosition="0">
        <references count="3">
          <reference field="4294967294" count="1" selected="0">
            <x v="0"/>
          </reference>
          <reference field="1" count="1" selected="0">
            <x v="5"/>
          </reference>
          <reference field="2" count="1" selected="0">
            <x v="3"/>
          </reference>
        </references>
      </pivotArea>
    </chartFormat>
    <chartFormat chart="0" format="94" series="1">
      <pivotArea type="data" outline="0" fieldPosition="0">
        <references count="3">
          <reference field="4294967294" count="1" selected="0">
            <x v="0"/>
          </reference>
          <reference field="1" count="1" selected="0">
            <x v="6"/>
          </reference>
          <reference field="2" count="1" selected="0">
            <x v="3"/>
          </reference>
        </references>
      </pivotArea>
    </chartFormat>
    <chartFormat chart="0" format="95" series="1">
      <pivotArea type="data" outline="0" fieldPosition="0">
        <references count="3">
          <reference field="4294967294" count="1" selected="0">
            <x v="0"/>
          </reference>
          <reference field="1" count="1" selected="0">
            <x v="7"/>
          </reference>
          <reference field="2" count="1" selected="0">
            <x v="3"/>
          </reference>
        </references>
      </pivotArea>
    </chartFormat>
    <chartFormat chart="0" format="96" series="1">
      <pivotArea type="data" outline="0" fieldPosition="0">
        <references count="3">
          <reference field="4294967294" count="1" selected="0">
            <x v="0"/>
          </reference>
          <reference field="1" count="1" selected="0">
            <x v="0"/>
          </reference>
          <reference field="2" count="1" selected="0">
            <x v="6"/>
          </reference>
        </references>
      </pivotArea>
    </chartFormat>
    <chartFormat chart="0" format="97"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98" series="1">
      <pivotArea type="data" outline="0" fieldPosition="0">
        <references count="3">
          <reference field="4294967294" count="1" selected="0">
            <x v="0"/>
          </reference>
          <reference field="1" count="1" selected="0">
            <x v="2"/>
          </reference>
          <reference field="2" count="1" selected="0">
            <x v="6"/>
          </reference>
        </references>
      </pivotArea>
    </chartFormat>
    <chartFormat chart="0" format="99" series="1">
      <pivotArea type="data" outline="0" fieldPosition="0">
        <references count="3">
          <reference field="4294967294" count="1" selected="0">
            <x v="0"/>
          </reference>
          <reference field="1" count="1" selected="0">
            <x v="3"/>
          </reference>
          <reference field="2" count="1" selected="0">
            <x v="6"/>
          </reference>
        </references>
      </pivotArea>
    </chartFormat>
    <chartFormat chart="0" format="100" series="1">
      <pivotArea type="data" outline="0" fieldPosition="0">
        <references count="3">
          <reference field="4294967294" count="1" selected="0">
            <x v="0"/>
          </reference>
          <reference field="1" count="1" selected="0">
            <x v="4"/>
          </reference>
          <reference field="2" count="1" selected="0">
            <x v="6"/>
          </reference>
        </references>
      </pivotArea>
    </chartFormat>
    <chartFormat chart="0" format="101" series="1">
      <pivotArea type="data" outline="0" fieldPosition="0">
        <references count="3">
          <reference field="4294967294" count="1" selected="0">
            <x v="0"/>
          </reference>
          <reference field="1" count="1" selected="0">
            <x v="5"/>
          </reference>
          <reference field="2" count="1" selected="0">
            <x v="6"/>
          </reference>
        </references>
      </pivotArea>
    </chartFormat>
    <chartFormat chart="0" format="102" series="1">
      <pivotArea type="data" outline="0" fieldPosition="0">
        <references count="3">
          <reference field="4294967294" count="1" selected="0">
            <x v="0"/>
          </reference>
          <reference field="1" count="1" selected="0">
            <x v="6"/>
          </reference>
          <reference field="2" count="1" selected="0">
            <x v="6"/>
          </reference>
        </references>
      </pivotArea>
    </chartFormat>
    <chartFormat chart="0" format="103" series="1">
      <pivotArea type="data" outline="0" fieldPosition="0">
        <references count="3">
          <reference field="4294967294" count="1" selected="0">
            <x v="0"/>
          </reference>
          <reference field="1" count="1" selected="0">
            <x v="7"/>
          </reference>
          <reference field="2" count="1" selected="0">
            <x v="6"/>
          </reference>
        </references>
      </pivotArea>
    </chartFormat>
    <chartFormat chart="0" format="104" series="1">
      <pivotArea type="data" outline="0" fieldPosition="0">
        <references count="3">
          <reference field="4294967294" count="1" selected="0">
            <x v="0"/>
          </reference>
          <reference field="1" count="1" selected="0">
            <x v="0"/>
          </reference>
          <reference field="2" count="1" selected="0">
            <x v="5"/>
          </reference>
        </references>
      </pivotArea>
    </chartFormat>
    <chartFormat chart="0" format="105"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106" series="1">
      <pivotArea type="data" outline="0" fieldPosition="0">
        <references count="3">
          <reference field="4294967294" count="1" selected="0">
            <x v="0"/>
          </reference>
          <reference field="1" count="1" selected="0">
            <x v="2"/>
          </reference>
          <reference field="2" count="1" selected="0">
            <x v="5"/>
          </reference>
        </references>
      </pivotArea>
    </chartFormat>
    <chartFormat chart="0" format="107"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108"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109" series="1">
      <pivotArea type="data" outline="0" fieldPosition="0">
        <references count="3">
          <reference field="4294967294" count="1" selected="0">
            <x v="0"/>
          </reference>
          <reference field="1" count="1" selected="0">
            <x v="5"/>
          </reference>
          <reference field="2" count="1" selected="0">
            <x v="5"/>
          </reference>
        </references>
      </pivotArea>
    </chartFormat>
    <chartFormat chart="0" format="110" series="1">
      <pivotArea type="data" outline="0" fieldPosition="0">
        <references count="3">
          <reference field="4294967294" count="1" selected="0">
            <x v="0"/>
          </reference>
          <reference field="1" count="1" selected="0">
            <x v="6"/>
          </reference>
          <reference field="2" count="1" selected="0">
            <x v="5"/>
          </reference>
        </references>
      </pivotArea>
    </chartFormat>
    <chartFormat chart="0" format="111" series="1">
      <pivotArea type="data" outline="0" fieldPosition="0">
        <references count="3">
          <reference field="4294967294" count="1" selected="0">
            <x v="0"/>
          </reference>
          <reference field="1" count="1" selected="0">
            <x v="7"/>
          </reference>
          <reference field="2" count="1" selected="0">
            <x v="5"/>
          </reference>
        </references>
      </pivotArea>
    </chartFormat>
    <chartFormat chart="0" format="112" series="1">
      <pivotArea type="data" outline="0" fieldPosition="0">
        <references count="3">
          <reference field="4294967294" count="1" selected="0">
            <x v="0"/>
          </reference>
          <reference field="1" count="1" selected="0">
            <x v="0"/>
          </reference>
          <reference field="2" count="1" selected="0">
            <x v="7"/>
          </reference>
        </references>
      </pivotArea>
    </chartFormat>
    <chartFormat chart="0" format="113"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114" series="1">
      <pivotArea type="data" outline="0" fieldPosition="0">
        <references count="3">
          <reference field="4294967294" count="1" selected="0">
            <x v="0"/>
          </reference>
          <reference field="1" count="1" selected="0">
            <x v="2"/>
          </reference>
          <reference field="2" count="1" selected="0">
            <x v="7"/>
          </reference>
        </references>
      </pivotArea>
    </chartFormat>
    <chartFormat chart="0" format="115" series="1">
      <pivotArea type="data" outline="0" fieldPosition="0">
        <references count="3">
          <reference field="4294967294" count="1" selected="0">
            <x v="0"/>
          </reference>
          <reference field="1" count="1" selected="0">
            <x v="3"/>
          </reference>
          <reference field="2" count="1" selected="0">
            <x v="7"/>
          </reference>
        </references>
      </pivotArea>
    </chartFormat>
    <chartFormat chart="0" format="116" series="1">
      <pivotArea type="data" outline="0" fieldPosition="0">
        <references count="3">
          <reference field="4294967294" count="1" selected="0">
            <x v="0"/>
          </reference>
          <reference field="1" count="1" selected="0">
            <x v="4"/>
          </reference>
          <reference field="2" count="1" selected="0">
            <x v="7"/>
          </reference>
        </references>
      </pivotArea>
    </chartFormat>
    <chartFormat chart="0" format="117" series="1">
      <pivotArea type="data" outline="0" fieldPosition="0">
        <references count="3">
          <reference field="4294967294" count="1" selected="0">
            <x v="0"/>
          </reference>
          <reference field="1" count="1" selected="0">
            <x v="5"/>
          </reference>
          <reference field="2" count="1" selected="0">
            <x v="7"/>
          </reference>
        </references>
      </pivotArea>
    </chartFormat>
    <chartFormat chart="0" format="118" series="1">
      <pivotArea type="data" outline="0" fieldPosition="0">
        <references count="3">
          <reference field="4294967294" count="1" selected="0">
            <x v="0"/>
          </reference>
          <reference field="1" count="1" selected="0">
            <x v="6"/>
          </reference>
          <reference field="2" count="1" selected="0">
            <x v="7"/>
          </reference>
        </references>
      </pivotArea>
    </chartFormat>
    <chartFormat chart="0" format="119" series="1">
      <pivotArea type="data" outline="0" fieldPosition="0">
        <references count="3">
          <reference field="4294967294" count="1" selected="0">
            <x v="0"/>
          </reference>
          <reference field="1" count="1" selected="0">
            <x v="7"/>
          </reference>
          <reference field="2" count="1" selected="0">
            <x v="7"/>
          </reference>
        </references>
      </pivotArea>
    </chartFormat>
    <chartFormat chart="0" format="120" series="1">
      <pivotArea type="data" outline="0" fieldPosition="0">
        <references count="3">
          <reference field="4294967294" count="1" selected="0">
            <x v="0"/>
          </reference>
          <reference field="1" count="1" selected="0">
            <x v="0"/>
          </reference>
          <reference field="2" count="1" selected="0">
            <x v="0"/>
          </reference>
        </references>
      </pivotArea>
    </chartFormat>
    <chartFormat chart="0" format="121"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122"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123" series="1">
      <pivotArea type="data" outline="0" fieldPosition="0">
        <references count="3">
          <reference field="4294967294" count="1" selected="0">
            <x v="0"/>
          </reference>
          <reference field="1" count="1" selected="0">
            <x v="3"/>
          </reference>
          <reference field="2" count="1" selected="0">
            <x v="0"/>
          </reference>
        </references>
      </pivotArea>
    </chartFormat>
    <chartFormat chart="0" format="124" series="1">
      <pivotArea type="data" outline="0" fieldPosition="0">
        <references count="3">
          <reference field="4294967294" count="1" selected="0">
            <x v="0"/>
          </reference>
          <reference field="1" count="1" selected="0">
            <x v="4"/>
          </reference>
          <reference field="2" count="1" selected="0">
            <x v="0"/>
          </reference>
        </references>
      </pivotArea>
    </chartFormat>
    <chartFormat chart="0" format="125" series="1">
      <pivotArea type="data" outline="0" fieldPosition="0">
        <references count="3">
          <reference field="4294967294" count="1" selected="0">
            <x v="0"/>
          </reference>
          <reference field="1" count="1" selected="0">
            <x v="5"/>
          </reference>
          <reference field="2" count="1" selected="0">
            <x v="0"/>
          </reference>
        </references>
      </pivotArea>
    </chartFormat>
    <chartFormat chart="0" format="126" series="1">
      <pivotArea type="data" outline="0" fieldPosition="0">
        <references count="3">
          <reference field="4294967294" count="1" selected="0">
            <x v="0"/>
          </reference>
          <reference field="1" count="1" selected="0">
            <x v="6"/>
          </reference>
          <reference field="2" count="1" selected="0">
            <x v="0"/>
          </reference>
        </references>
      </pivotArea>
    </chartFormat>
    <chartFormat chart="0" format="127" series="1">
      <pivotArea type="data" outline="0" fieldPosition="0">
        <references count="3">
          <reference field="4294967294" count="1" selected="0">
            <x v="0"/>
          </reference>
          <reference field="1" count="1" selected="0">
            <x v="7"/>
          </reference>
          <reference field="2" count="1" selected="0">
            <x v="0"/>
          </reference>
        </references>
      </pivotArea>
    </chartFormat>
    <chartFormat chart="7" format="224" series="1">
      <pivotArea type="data" outline="0" fieldPosition="0">
        <references count="2">
          <reference field="4294967294" count="1" selected="0">
            <x v="0"/>
          </reference>
          <reference field="1" count="1" selected="0">
            <x v="0"/>
          </reference>
        </references>
      </pivotArea>
    </chartFormat>
    <chartFormat chart="7" format="225" series="1">
      <pivotArea type="data" outline="0" fieldPosition="0">
        <references count="2">
          <reference field="4294967294" count="1" selected="0">
            <x v="0"/>
          </reference>
          <reference field="1" count="1" selected="0">
            <x v="1"/>
          </reference>
        </references>
      </pivotArea>
    </chartFormat>
    <chartFormat chart="7" format="226" series="1">
      <pivotArea type="data" outline="0" fieldPosition="0">
        <references count="2">
          <reference field="4294967294" count="1" selected="0">
            <x v="0"/>
          </reference>
          <reference field="1" count="1" selected="0">
            <x v="3"/>
          </reference>
        </references>
      </pivotArea>
    </chartFormat>
    <chartFormat chart="7" format="227" series="1">
      <pivotArea type="data" outline="0" fieldPosition="0">
        <references count="2">
          <reference field="4294967294" count="1" selected="0">
            <x v="0"/>
          </reference>
          <reference field="1" count="1" selected="0">
            <x v="4"/>
          </reference>
        </references>
      </pivotArea>
    </chartFormat>
    <chartFormat chart="7" format="228" series="1">
      <pivotArea type="data" outline="0" fieldPosition="0">
        <references count="2">
          <reference field="4294967294" count="1" selected="0">
            <x v="0"/>
          </reference>
          <reference field="1" count="1" selected="0">
            <x v="6"/>
          </reference>
        </references>
      </pivotArea>
    </chartFormat>
    <chartFormat chart="7" format="229" series="1">
      <pivotArea type="data" outline="0" fieldPosition="0">
        <references count="2">
          <reference field="4294967294" count="1" selected="0">
            <x v="0"/>
          </reference>
          <reference field="1" count="1" selected="0">
            <x v="7"/>
          </reference>
        </references>
      </pivotArea>
    </chartFormat>
    <chartFormat chart="0" format="181" series="1">
      <pivotArea type="data" outline="0" fieldPosition="0">
        <references count="2">
          <reference field="4294967294" count="1" selected="0">
            <x v="0"/>
          </reference>
          <reference field="1" count="1" selected="0">
            <x v="0"/>
          </reference>
        </references>
      </pivotArea>
    </chartFormat>
    <chartFormat chart="0" format="182" series="1">
      <pivotArea type="data" outline="0" fieldPosition="0">
        <references count="2">
          <reference field="4294967294" count="1" selected="0">
            <x v="0"/>
          </reference>
          <reference field="1" count="1" selected="0">
            <x v="1"/>
          </reference>
        </references>
      </pivotArea>
    </chartFormat>
    <chartFormat chart="0" format="183" series="1">
      <pivotArea type="data" outline="0" fieldPosition="0">
        <references count="2">
          <reference field="4294967294" count="1" selected="0">
            <x v="0"/>
          </reference>
          <reference field="1" count="1" selected="0">
            <x v="3"/>
          </reference>
        </references>
      </pivotArea>
    </chartFormat>
    <chartFormat chart="0" format="184" series="1">
      <pivotArea type="data" outline="0" fieldPosition="0">
        <references count="2">
          <reference field="4294967294" count="1" selected="0">
            <x v="0"/>
          </reference>
          <reference field="1" count="1" selected="0">
            <x v="4"/>
          </reference>
        </references>
      </pivotArea>
    </chartFormat>
    <chartFormat chart="0" format="185" series="1">
      <pivotArea type="data" outline="0" fieldPosition="0">
        <references count="2">
          <reference field="4294967294" count="1" selected="0">
            <x v="0"/>
          </reference>
          <reference field="1" count="1" selected="0">
            <x v="6"/>
          </reference>
        </references>
      </pivotArea>
    </chartFormat>
    <chartFormat chart="0" format="186" series="1">
      <pivotArea type="data" outline="0" fieldPosition="0">
        <references count="2">
          <reference field="4294967294" count="1" selected="0">
            <x v="0"/>
          </reference>
          <reference field="1" count="1" selected="0">
            <x v="7"/>
          </reference>
        </references>
      </pivotArea>
    </chartFormat>
    <chartFormat chart="7" format="230" series="1">
      <pivotArea type="data" outline="0" fieldPosition="0">
        <references count="2">
          <reference field="4294967294" count="1" selected="0">
            <x v="0"/>
          </reference>
          <reference field="1" count="1" selected="0">
            <x v="2"/>
          </reference>
        </references>
      </pivotArea>
    </chartFormat>
    <chartFormat chart="7" format="231" series="1">
      <pivotArea type="data" outline="0" fieldPosition="0">
        <references count="2">
          <reference field="4294967294" count="1" selected="0">
            <x v="0"/>
          </reference>
          <reference field="1" count="1" selected="0">
            <x v="5"/>
          </reference>
        </references>
      </pivotArea>
    </chartFormat>
    <chartFormat chart="0" format="187" series="1">
      <pivotArea type="data" outline="0" fieldPosition="0">
        <references count="2">
          <reference field="4294967294" count="1" selected="0">
            <x v="0"/>
          </reference>
          <reference field="1" count="1" selected="0">
            <x v="2"/>
          </reference>
        </references>
      </pivotArea>
    </chartFormat>
    <chartFormat chart="0" format="188" series="1">
      <pivotArea type="data" outline="0" fieldPosition="0">
        <references count="2">
          <reference field="4294967294" count="1" selected="0">
            <x v="0"/>
          </reference>
          <reference field="1" count="1" selected="0">
            <x v="5"/>
          </reference>
        </references>
      </pivotArea>
    </chartFormat>
    <chartFormat chart="10" format="232" series="1">
      <pivotArea type="data" outline="0" fieldPosition="0">
        <references count="2">
          <reference field="4294967294" count="1" selected="0">
            <x v="0"/>
          </reference>
          <reference field="1" count="1" selected="0">
            <x v="0"/>
          </reference>
        </references>
      </pivotArea>
    </chartFormat>
    <chartFormat chart="10" format="233" series="1">
      <pivotArea type="data" outline="0" fieldPosition="0">
        <references count="2">
          <reference field="4294967294" count="1" selected="0">
            <x v="0"/>
          </reference>
          <reference field="1" count="1" selected="0">
            <x v="1"/>
          </reference>
        </references>
      </pivotArea>
    </chartFormat>
    <chartFormat chart="10" format="234" series="1">
      <pivotArea type="data" outline="0" fieldPosition="0">
        <references count="2">
          <reference field="4294967294" count="1" selected="0">
            <x v="0"/>
          </reference>
          <reference field="1" count="1" selected="0">
            <x v="2"/>
          </reference>
        </references>
      </pivotArea>
    </chartFormat>
    <chartFormat chart="10" format="235" series="1">
      <pivotArea type="data" outline="0" fieldPosition="0">
        <references count="2">
          <reference field="4294967294" count="1" selected="0">
            <x v="0"/>
          </reference>
          <reference field="1" count="1" selected="0">
            <x v="3"/>
          </reference>
        </references>
      </pivotArea>
    </chartFormat>
    <chartFormat chart="10" format="236" series="1">
      <pivotArea type="data" outline="0" fieldPosition="0">
        <references count="2">
          <reference field="4294967294" count="1" selected="0">
            <x v="0"/>
          </reference>
          <reference field="1" count="1" selected="0">
            <x v="4"/>
          </reference>
        </references>
      </pivotArea>
    </chartFormat>
    <chartFormat chart="10" format="237" series="1">
      <pivotArea type="data" outline="0" fieldPosition="0">
        <references count="2">
          <reference field="4294967294" count="1" selected="0">
            <x v="0"/>
          </reference>
          <reference field="1" count="1" selected="0">
            <x v="5"/>
          </reference>
        </references>
      </pivotArea>
    </chartFormat>
    <chartFormat chart="10" format="238" series="1">
      <pivotArea type="data" outline="0" fieldPosition="0">
        <references count="2">
          <reference field="4294967294" count="1" selected="0">
            <x v="0"/>
          </reference>
          <reference field="1" count="1" selected="0">
            <x v="6"/>
          </reference>
        </references>
      </pivotArea>
    </chartFormat>
    <chartFormat chart="10" format="239" series="1">
      <pivotArea type="data" outline="0" fieldPosition="0">
        <references count="2">
          <reference field="4294967294" count="1" selected="0">
            <x v="0"/>
          </reference>
          <reference field="1" count="1" selected="0">
            <x v="7"/>
          </reference>
        </references>
      </pivotArea>
    </chartFormat>
    <chartFormat chart="11" format="240" series="1">
      <pivotArea type="data" outline="0" fieldPosition="0">
        <references count="2">
          <reference field="4294967294" count="1" selected="0">
            <x v="0"/>
          </reference>
          <reference field="1" count="1" selected="0">
            <x v="0"/>
          </reference>
        </references>
      </pivotArea>
    </chartFormat>
    <chartFormat chart="11" format="241" series="1">
      <pivotArea type="data" outline="0" fieldPosition="0">
        <references count="2">
          <reference field="4294967294" count="1" selected="0">
            <x v="0"/>
          </reference>
          <reference field="1" count="1" selected="0">
            <x v="1"/>
          </reference>
        </references>
      </pivotArea>
    </chartFormat>
    <chartFormat chart="11" format="242" series="1">
      <pivotArea type="data" outline="0" fieldPosition="0">
        <references count="2">
          <reference field="4294967294" count="1" selected="0">
            <x v="0"/>
          </reference>
          <reference field="1" count="1" selected="0">
            <x v="2"/>
          </reference>
        </references>
      </pivotArea>
    </chartFormat>
    <chartFormat chart="11" format="243" series="1">
      <pivotArea type="data" outline="0" fieldPosition="0">
        <references count="2">
          <reference field="4294967294" count="1" selected="0">
            <x v="0"/>
          </reference>
          <reference field="1" count="1" selected="0">
            <x v="3"/>
          </reference>
        </references>
      </pivotArea>
    </chartFormat>
    <chartFormat chart="11" format="244" series="1">
      <pivotArea type="data" outline="0" fieldPosition="0">
        <references count="2">
          <reference field="4294967294" count="1" selected="0">
            <x v="0"/>
          </reference>
          <reference field="1" count="1" selected="0">
            <x v="4"/>
          </reference>
        </references>
      </pivotArea>
    </chartFormat>
    <chartFormat chart="11" format="245" series="1">
      <pivotArea type="data" outline="0" fieldPosition="0">
        <references count="2">
          <reference field="4294967294" count="1" selected="0">
            <x v="0"/>
          </reference>
          <reference field="1" count="1" selected="0">
            <x v="5"/>
          </reference>
        </references>
      </pivotArea>
    </chartFormat>
    <chartFormat chart="11" format="246" series="1">
      <pivotArea type="data" outline="0" fieldPosition="0">
        <references count="2">
          <reference field="4294967294" count="1" selected="0">
            <x v="0"/>
          </reference>
          <reference field="1" count="1" selected="0">
            <x v="6"/>
          </reference>
        </references>
      </pivotArea>
    </chartFormat>
    <chartFormat chart="11" format="247" series="1">
      <pivotArea type="data" outline="0" fieldPosition="0">
        <references count="2">
          <reference field="4294967294" count="1" selected="0">
            <x v="0"/>
          </reference>
          <reference field="1" count="1" selected="0">
            <x v="7"/>
          </reference>
        </references>
      </pivotArea>
    </chartFormat>
  </chartFormats>
  <pivotHierarchies count="48">
    <pivotHierarchy dragToData="1"/>
    <pivotHierarchy multipleItemSelectionAllowed="1" dragToData="1"/>
    <pivotHierarchy multipleItemSelectionAllowed="1" dragToData="1">
      <members count="4" level="1">
        <member name="[Range].[Department].&amp;[General Ward]"/>
        <member name="[Range].[Department].&amp;[ICU]"/>
        <member name="[Range].[Department].&amp;[Nephrology]"/>
        <member name="[Range].[Department].&amp;[OT]"/>
      </members>
    </pivotHierarchy>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810E34-0EC9-4705-B9B4-6B22D58CF2B6}" name="PivotTable13" cacheId="23" applyNumberFormats="0" applyBorderFormats="0" applyFontFormats="0" applyPatternFormats="0" applyAlignmentFormats="0" applyWidthHeightFormats="1" dataCaption="Values" tag="80bcb7c7-ff1b-4668-818f-7701edf1b1b5" updatedVersion="8" minRefreshableVersion="3" useAutoFormatting="1" subtotalHiddenItems="1" itemPrintTitles="1" createdVersion="8" indent="0" outline="1" outlineData="1" multipleFieldFilters="0" chartFormat="10">
  <location ref="T4:U9" firstHeaderRow="1" firstDataRow="1" firstDataCol="1"/>
  <pivotFields count="5">
    <pivotField axis="axisRow" allDrilled="1" subtotalTop="0" showAll="0" dataSourceSort="1" defaultSubtotal="0" defaultAttributeDrillState="1">
      <items count="12">
        <item x="0"/>
        <item s="1" x="1"/>
        <item s="1" x="2"/>
        <item x="3"/>
        <item x="4"/>
        <item x="5"/>
        <item x="6"/>
        <item x="7"/>
        <item x="8"/>
        <item x="9"/>
        <item x="10"/>
        <item x="11"/>
      </items>
    </pivotField>
    <pivotField dataField="1" subtotalTop="0" showAll="0" defaultSubtotal="0"/>
    <pivotField axis="axisRow" allDrilled="1" subtotalTop="0" showAll="0" dataSourceSort="1" defaultSubtotal="0">
      <items count="7">
        <item s="1" x="0" e="0"/>
        <item s="1" x="1" e="0"/>
        <item s="1" x="2" e="0"/>
        <item s="1" x="3" e="0"/>
        <item x="4" e="0"/>
        <item x="5" e="0"/>
        <item x="6" e="0"/>
      </items>
    </pivotField>
    <pivotField allDrilled="1" subtotalTop="0" showAll="0" dataSourceSort="1" defaultSubtotal="0" defaultAttributeDrillState="1"/>
    <pivotField allDrilled="1" subtotalTop="0" showAll="0" dataSourceSort="1" defaultSubtotal="0" defaultAttributeDrillState="1"/>
  </pivotFields>
  <rowFields count="2">
    <field x="2"/>
    <field x="0"/>
  </rowFields>
  <rowItems count="5">
    <i>
      <x/>
    </i>
    <i>
      <x v="1"/>
    </i>
    <i>
      <x v="2"/>
    </i>
    <i>
      <x v="3"/>
    </i>
    <i t="grand">
      <x/>
    </i>
  </rowItems>
  <colItems count="1">
    <i/>
  </colItems>
  <dataFields count="1">
    <dataField name="Sum of Efficiency_Gap" fld="1" baseField="0" baseItem="0"/>
  </dataFields>
  <chartFormats count="25">
    <chartFormat chart="0" format="0" series="1">
      <pivotArea type="data" outline="0" fieldPosition="0">
        <references count="2">
          <reference field="4294967294" count="1" selected="0">
            <x v="0"/>
          </reference>
          <reference field="2" count="1" selected="0">
            <x v="5"/>
          </reference>
        </references>
      </pivotArea>
    </chartFormat>
    <chartFormat chart="0" format="1" series="1">
      <pivotArea type="data" outline="0" fieldPosition="0">
        <references count="2">
          <reference field="4294967294" count="1" selected="0">
            <x v="0"/>
          </reference>
          <reference field="2" count="1" selected="0">
            <x v="4"/>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6" format="14" series="1">
      <pivotArea type="data" outline="0" fieldPosition="0">
        <references count="2">
          <reference field="4294967294" count="1" selected="0">
            <x v="0"/>
          </reference>
          <reference field="2" count="1" selected="0">
            <x v="5"/>
          </reference>
        </references>
      </pivotArea>
    </chartFormat>
    <chartFormat chart="6" format="15" series="1">
      <pivotArea type="data" outline="0" fieldPosition="0">
        <references count="2">
          <reference field="4294967294" count="1" selected="0">
            <x v="0"/>
          </reference>
          <reference field="2" count="1" selected="0">
            <x v="4"/>
          </reference>
        </references>
      </pivotArea>
    </chartFormat>
    <chartFormat chart="6" format="16" series="1">
      <pivotArea type="data" outline="0" fieldPosition="0">
        <references count="2">
          <reference field="4294967294" count="1" selected="0">
            <x v="0"/>
          </reference>
          <reference field="2" count="1" selected="0">
            <x v="0"/>
          </reference>
        </references>
      </pivotArea>
    </chartFormat>
    <chartFormat chart="6" format="17" series="1">
      <pivotArea type="data" outline="0" fieldPosition="0">
        <references count="2">
          <reference field="4294967294" count="1" selected="0">
            <x v="0"/>
          </reference>
          <reference field="2" count="1" selected="0">
            <x v="1"/>
          </reference>
        </references>
      </pivotArea>
    </chartFormat>
    <chartFormat chart="6" format="18" series="1">
      <pivotArea type="data" outline="0" fieldPosition="0">
        <references count="2">
          <reference field="4294967294" count="1" selected="0">
            <x v="0"/>
          </reference>
          <reference field="2" count="1" selected="0">
            <x v="2"/>
          </reference>
        </references>
      </pivotArea>
    </chartFormat>
    <chartFormat chart="6" format="19" series="1">
      <pivotArea type="data" outline="0" fieldPosition="0">
        <references count="2">
          <reference field="4294967294" count="1" selected="0">
            <x v="0"/>
          </reference>
          <reference field="2" count="1" selected="0">
            <x v="3"/>
          </reference>
        </references>
      </pivotArea>
    </chartFormat>
    <chartFormat chart="6" format="20" series="1">
      <pivotArea type="data" outline="0" fieldPosition="0">
        <references count="2">
          <reference field="4294967294" count="1" selected="0">
            <x v="0"/>
          </reference>
          <reference field="2" count="1" selected="0">
            <x v="6"/>
          </reference>
        </references>
      </pivotArea>
    </chartFormat>
    <chartFormat chart="6" format="2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6" format="22"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 chart="0" format="9" series="1">
      <pivotArea type="data" outline="0" fieldPosition="0">
        <references count="2">
          <reference field="4294967294" count="1" selected="0">
            <x v="0"/>
          </reference>
          <reference field="0" count="1" selected="0">
            <x v="0"/>
          </reference>
        </references>
      </pivotArea>
    </chartFormat>
    <chartFormat chart="6" format="23" series="1">
      <pivotArea type="data" outline="0" fieldPosition="0">
        <references count="2">
          <reference field="4294967294" count="1" selected="0">
            <x v="0"/>
          </reference>
          <reference field="0" count="1" selected="0">
            <x v="11"/>
          </reference>
        </references>
      </pivotArea>
    </chartFormat>
    <chartFormat chart="0" format="10" series="1">
      <pivotArea type="data" outline="0" fieldPosition="0">
        <references count="2">
          <reference field="4294967294" count="1" selected="0">
            <x v="0"/>
          </reference>
          <reference field="0" count="1" selected="0">
            <x v="11"/>
          </reference>
        </references>
      </pivotArea>
    </chartFormat>
    <chartFormat chart="6" format="24" series="1">
      <pivotArea type="data" outline="0" fieldPosition="0">
        <references count="2">
          <reference field="4294967294" count="1" selected="0">
            <x v="0"/>
          </reference>
          <reference field="0" count="1" selected="0">
            <x v="0"/>
          </reference>
        </references>
      </pivotArea>
    </chartFormat>
    <chartFormat chart="0" format="11" series="1">
      <pivotArea type="data" outline="0" fieldPosition="0">
        <references count="2">
          <reference field="4294967294" count="1" selected="0">
            <x v="0"/>
          </reference>
          <reference field="0" count="1" selected="0">
            <x v="2"/>
          </reference>
        </references>
      </pivotArea>
    </chartFormat>
    <chartFormat chart="8" format="25" series="1">
      <pivotArea type="data" outline="0" fieldPosition="0">
        <references count="1">
          <reference field="4294967294" count="1" selected="0">
            <x v="0"/>
          </reference>
        </references>
      </pivotArea>
    </chartFormat>
    <chartFormat chart="9" format="26"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9E5BC7-5BF1-49CC-9EEB-B268B5113A96}" name="PivotTable12" cacheId="20" applyNumberFormats="0" applyBorderFormats="0" applyFontFormats="0" applyPatternFormats="0" applyAlignmentFormats="0" applyWidthHeightFormats="1" dataCaption="Values" tag="23048311-cedf-4e57-9ca7-ae72232862a5" updatedVersion="8" minRefreshableVersion="3" useAutoFormatting="1" subtotalHiddenItems="1" itemPrintTitles="1" createdVersion="8" indent="0" outline="1" outlineData="1" multipleFieldFilters="0" chartFormat="18">
  <location ref="I5:K8" firstHeaderRow="0" firstDataRow="1" firstDataCol="1" rowPageCount="2" colPageCount="1"/>
  <pivotFields count="7">
    <pivotField axis="axisRow" allDrilled="1" subtotalTop="0" showAll="0" defaultSubtotal="0" defaultAttributeDrillState="1">
      <items count="2">
        <item s="1" x="0"/>
        <item s="1" x="1"/>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pageFields count="2">
    <pageField fld="1" hier="2" name="[Range].[Department].&amp;[OT]" cap="OT"/>
    <pageField fld="3" hier="0" name="[Range].[Equipment_ID].[All]" cap="All"/>
  </pageFields>
  <dataFields count="2">
    <dataField name="Sum of Efficiency_Gap" fld="2" baseField="0" baseItem="0"/>
    <dataField name="Sum of Utilization_Rate(%)" fld="4" baseField="0" baseItem="0"/>
  </dataFields>
  <chartFormats count="6">
    <chartFormat chart="0" format="9"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6" format="20" series="1">
      <pivotArea type="data" outline="0" fieldPosition="0">
        <references count="1">
          <reference field="4294967294" count="1" selected="0">
            <x v="0"/>
          </reference>
        </references>
      </pivotArea>
    </chartFormat>
    <chartFormat chart="16" format="21" series="1">
      <pivotArea type="data" outline="0" fieldPosition="0">
        <references count="1">
          <reference field="4294967294" count="1" selected="0">
            <x v="1"/>
          </reference>
        </references>
      </pivotArea>
    </chartFormat>
  </chartFormats>
  <pivotHierarchies count="48">
    <pivotHierarchy multipleItemSelectionAllowed="1" dragToData="1"/>
    <pivotHierarchy multipleItemSelectionAllowed="1" dragToData="1"/>
    <pivotHierarchy multipleItemSelectionAllowed="1" dragToData="1">
      <members count="4" level="1">
        <member name="[Range].[Department].&amp;[OT]"/>
        <member name="[Range].[Department].&amp;[ICU]"/>
        <member name="[Range].[Department].&amp;[Nephrology]"/>
        <member name="[Range].[Department].&amp;[General Ward]"/>
      </members>
    </pivotHierarchy>
    <pivotHierarchy dragToData="1"/>
    <pivotHierarchy dragToData="1"/>
    <pivotHierarchy dragToData="1"/>
    <pivotHierarchy dragToData="1"/>
    <pivotHierarchy dragToData="1"/>
    <pivotHierarchy multipleItemSelectionAllowed="1" dragToData="1">
      <members count="1" level="1">
        <member name="[Range].[Maintenance_Type].&amp;[Unscheduled]"/>
      </members>
    </pivotHierarchy>
    <pivotHierarchy dragToData="1"/>
    <pivotHierarchy multipleItemSelectionAllowed="1" dragToData="1">
      <members count="2" level="1">
        <member name="[Range].[Status].&amp;[Active]"/>
        <member name="[Range].[Status].&amp;[Id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P$3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D8C233A-F7C4-4BE9-96C5-6369427FF6B6}" sourceName="[Range 1].[Department]">
  <pivotTables>
    <pivotTable tabId="14" name="PivotTable5"/>
  </pivotTables>
  <data>
    <olap pivotCacheId="1596975151">
      <levels count="2">
        <level uniqueName="[Range 1].[Department].[(All)]" sourceCaption="(All)" count="0"/>
        <level uniqueName="[Range 1].[Department].[Department]" sourceCaption="Department" count="7">
          <ranges>
            <range startItem="0">
              <i n="[Range 1].[Department].&amp;[Cardiology]" c="Cardiology"/>
              <i n="[Range 1].[Department].&amp;[Emergency]" c="Emergency"/>
              <i n="[Range 1].[Department].&amp;[General Ward]" c="General Ward"/>
              <i n="[Range 1].[Department].&amp;[ICU]" c="ICU"/>
              <i n="[Range 1].[Department].&amp;[Nephrology]" c="Nephrology"/>
              <i n="[Range 1].[Department].&amp;[OT]" c="OT"/>
              <i n="[Range 1].[Department].&amp;[Radiology]" c="Radiology"/>
            </range>
          </ranges>
        </level>
      </levels>
      <selections count="1">
        <selection n="[Range 1].[Department].&amp;[Radiolog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Name" xr10:uid="{5DDCF5E1-1BFB-483B-8446-F5E18E0103C5}" sourceName="[Range 1].[Equipment_Name]">
  <pivotTables>
    <pivotTable tabId="14" name="PivotTable5"/>
  </pivotTables>
  <data>
    <olap pivotCacheId="1596975151">
      <levels count="2">
        <level uniqueName="[Range 1].[Equipment_Name].[(All)]" sourceCaption="(All)" count="0"/>
        <level uniqueName="[Range 1].[Equipment_Name].[Equipment_Name]" sourceCaption="Equipment_Name" count="12">
          <ranges>
            <range startItem="0">
              <i n="[Range 1].[Equipment_Name].&amp;[Anesthesia Machine]" c="Anesthesia Machine"/>
              <i n="[Range 1].[Equipment_Name].&amp;[CT Scanner]" c="CT Scanner"/>
              <i n="[Range 1].[Equipment_Name].&amp;[Defibrillator]" c="Defibrillator"/>
              <i n="[Range 1].[Equipment_Name].&amp;[Dialysis Machine]" c="Dialysis Machine"/>
              <i n="[Range 1].[Equipment_Name].&amp;[ECG Machine]" c="ECG Machine"/>
              <i n="[Range 1].[Equipment_Name].&amp;[Infusion Pump]" c="Infusion Pump"/>
              <i n="[Range 1].[Equipment_Name].&amp;[MRI Scanner]" c="MRI Scanner"/>
              <i n="[Range 1].[Equipment_Name].&amp;[Patient Monitor]" c="Patient Monitor"/>
              <i n="[Range 1].[Equipment_Name].&amp;[Surgical Robot]" c="Surgical Robot"/>
              <i n="[Range 1].[Equipment_Name].&amp;[Ultrasound Machine]" c="Ultrasound Machine"/>
              <i n="[Range 1].[Equipment_Name].&amp;[Ventilator]" c="Ventilator"/>
              <i n="[Range 1].[Equipment_Name].&amp;[X-Ray Machine]" c="X-Ray Machine"/>
            </range>
          </ranges>
        </level>
      </levels>
      <selections count="1">
        <selection n="[Range 1].[Equipmen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B87BE1F-9EEC-4765-ABC8-36B9D28E62AA}" sourceName="[Range].[Department]">
  <pivotTables>
    <pivotTable tabId="14" name="PivotTable5"/>
    <pivotTable tabId="19" name="PivotTable12"/>
    <pivotTable tabId="19" name="PivotTable13"/>
    <pivotTable tabId="19" name="PivotTable14"/>
    <pivotTable tabId="19" name="PivotTable15"/>
    <pivotTable tabId="19" name="PivotTable11"/>
    <pivotTable tabId="19" name="PivotTable17"/>
  </pivotTables>
  <data>
    <olap pivotCacheId="1596975151">
      <levels count="2">
        <level uniqueName="[Range].[Department].[(All)]" sourceCaption="(All)" count="0"/>
        <level uniqueName="[Range].[Department].[Department]" sourceCaption="Department" count="7" sortOrder="ascending">
          <ranges>
            <range startItem="0">
              <i n="[Range].[Department].&amp;[Cardiology]" c="Cardiology"/>
              <i n="[Range].[Department].&amp;[Emergency]" c="Emergency"/>
              <i n="[Range].[Department].&amp;[General Ward]" c="General Ward"/>
              <i n="[Range].[Department].&amp;[ICU]" c="ICU"/>
              <i n="[Range].[Department].&amp;[Nephrology]" c="Nephrology"/>
              <i n="[Range].[Department].&amp;[OT]" c="OT"/>
              <i n="[Range].[Department].&amp;[Radiology]" c="Radiology"/>
            </range>
          </ranges>
        </level>
      </levels>
      <selections count="4">
        <selection n="[Range].[Department].&amp;[General Ward]"/>
        <selection n="[Range].[Department].&amp;[ICU]"/>
        <selection n="[Range].[Department].&amp;[Nephrology]"/>
        <selection n="[Range].[Department].&amp;[OT]"/>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Type" xr10:uid="{ADC45BC5-2E5A-4BF8-996B-6653EA2BE03E}" sourceName="[Range].[Maintenance_Type]">
  <pivotTables>
    <pivotTable tabId="19" name="PivotTable11"/>
    <pivotTable tabId="19" name="PivotTable13"/>
    <pivotTable tabId="19" name="PivotTable14"/>
    <pivotTable tabId="19" name="PivotTable15"/>
    <pivotTable tabId="19" name="PivotTable12"/>
    <pivotTable tabId="19" name="PivotTable17"/>
  </pivotTables>
  <data>
    <olap pivotCacheId="1596975151">
      <levels count="2">
        <level uniqueName="[Range].[Maintenance_Type].[(All)]" sourceCaption="(All)" count="0"/>
        <level uniqueName="[Range].[Maintenance_Type].[Maintenance_Type]" sourceCaption="Maintenance_Type" count="3" sortOrder="descending">
          <ranges>
            <range startItem="0">
              <i n="[Range].[Maintenance_Type].&amp;[Unscheduled]" c="Unscheduled"/>
              <i n="[Range].[Maintenance_Type].&amp;[Scheduled]" c="Scheduled"/>
              <i n="[Range].[Maintenance_Type].&amp;[None]" c="None"/>
            </range>
          </ranges>
        </level>
      </levels>
      <selections count="1">
        <selection n="[Range].[Maintenance_Type].&amp;[Unscheduled]"/>
      </selections>
    </olap>
  </data>
  <extLst>
    <x:ext xmlns:x15="http://schemas.microsoft.com/office/spreadsheetml/2010/11/main" uri="{470722E0-AACD-4C17-9CDC-17EF765DBC7E}">
      <x15:slicerCacheHideItemsWithNoData count="1">
        <x15:slicerCacheOlapLevelName uniqueName="[Range].[Maintenance_Type].[Maintenance_Typ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092C272-FE40-4717-9D88-3BC8A2871B84}" sourceName="[Range].[Status]">
  <pivotTables>
    <pivotTable tabId="19" name="PivotTable11"/>
    <pivotTable tabId="14" name="PivotTable5"/>
    <pivotTable tabId="19" name="PivotTable12"/>
    <pivotTable tabId="19" name="PivotTable13"/>
    <pivotTable tabId="19" name="PivotTable14"/>
    <pivotTable tabId="19" name="PivotTable15"/>
    <pivotTable tabId="19" name="PivotTable17"/>
  </pivotTables>
  <data>
    <olap pivotCacheId="1596975151">
      <levels count="2">
        <level uniqueName="[Range].[Status].[(All)]" sourceCaption="(All)" count="0"/>
        <level uniqueName="[Range].[Status].[Status]" sourceCaption="Status" count="3" sortOrder="ascending">
          <ranges>
            <range startItem="0">
              <i n="[Range].[Status].&amp;[Active]" c="Active"/>
              <i n="[Range].[Status].&amp;[Idle]" c="Idle"/>
              <i n="[Range].[Status].&amp;[Under Repair]" c="Under Repair"/>
            </range>
          </ranges>
        </level>
      </levels>
      <selections count="2">
        <selection n="[Range].[Status].&amp;[Active]"/>
        <selection n="[Range].[Status].&amp;[Idle]"/>
      </selections>
    </olap>
  </data>
  <extLst>
    <x:ext xmlns:x15="http://schemas.microsoft.com/office/spreadsheetml/2010/11/main" uri="{470722E0-AACD-4C17-9CDC-17EF765DBC7E}">
      <x15:slicerCacheHideItemsWithNoData count="1">
        <x15:slicerCacheOlapLevelName uniqueName="[Range].[Status].[Status]"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Name1" xr10:uid="{3FB45D7A-30CD-4CC8-9F39-636E961160D2}" sourceName="[Range].[Equipment_Name]">
  <pivotTables>
    <pivotTable tabId="19" name="PivotTable11"/>
    <pivotTable tabId="19" name="PivotTable12"/>
    <pivotTable tabId="19" name="PivotTable13"/>
    <pivotTable tabId="19" name="PivotTable14"/>
    <pivotTable tabId="19" name="PivotTable15"/>
    <pivotTable tabId="19" name="PivotTable17"/>
  </pivotTables>
  <data>
    <olap pivotCacheId="1596975151">
      <levels count="2">
        <level uniqueName="[Range].[Equipment_Name].[(All)]" sourceCaption="(All)" count="0"/>
        <level uniqueName="[Range].[Equipment_Name].[Equipment_Name]" sourceCaption="Equipment_Name" count="12">
          <ranges>
            <range startItem="0">
              <i n="[Range].[Equipment_Name].&amp;[Anesthesia Machine]" c="Anesthesia Machine"/>
              <i n="[Range].[Equipment_Name].&amp;[CT Scanner]" c="CT Scanner"/>
              <i n="[Range].[Equipment_Name].&amp;[Defibrillator]" c="Defibrillator"/>
              <i n="[Range].[Equipment_Name].&amp;[Dialysis Machine]" c="Dialysis Machine"/>
              <i n="[Range].[Equipment_Name].&amp;[ECG Machine]" c="ECG Machine"/>
              <i n="[Range].[Equipment_Name].&amp;[Infusion Pump]" c="Infusion Pump"/>
              <i n="[Range].[Equipment_Name].&amp;[MRI Scanner]" c="MRI Scanner"/>
              <i n="[Range].[Equipment_Name].&amp;[Patient Monitor]" c="Patient Monitor"/>
              <i n="[Range].[Equipment_Name].&amp;[Surgical Robot]" c="Surgical Robot"/>
              <i n="[Range].[Equipment_Name].&amp;[Ultrasound Machine]" c="Ultrasound Machine"/>
              <i n="[Range].[Equipment_Name].&amp;[Ventilator]" c="Ventilator"/>
              <i n="[Range].[Equipment_Name].&amp;[X-Ray Machine]" c="X-Ray Machine"/>
            </range>
          </ranges>
        </level>
      </levels>
      <selections count="2">
        <selection n="[Range].[Equipment_Name].&amp;[CT Scanner]"/>
        <selection n="[Range].[Equipment_Name].&amp;[Defibrillator]"/>
      </selections>
    </olap>
  </data>
  <extLst>
    <x:ext xmlns:x15="http://schemas.microsoft.com/office/spreadsheetml/2010/11/main" uri="{470722E0-AACD-4C17-9CDC-17EF765DBC7E}">
      <x15:slicerCacheHideItemsWithNoData count="1">
        <x15:slicerCacheOlapLevelName uniqueName="[Range].[Equipment_Name].[Equipment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740D213-6163-4C40-8A06-8A0878C7B572}" cache="Slicer_Department" caption="Department" level="1" rowHeight="234950"/>
  <slicer name="Equipment_Name" xr10:uid="{86AC3F66-CC15-4BDA-A6E4-94932655C203}" cache="Slicer_Equipment_Name" caption="Equipment_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8275F4C-9746-4569-8A33-C2E4C2D67F07}" cache="Slicer_Department1" caption="Department" columnCount="4" level="1" rowHeight="234950"/>
  <slicer name="Maintenance_Type" xr10:uid="{706E2F64-4ADD-4B54-8165-F19C1D1D510F}" cache="Slicer_Maintenance_Type" caption="Maintenance_Type" showCaption="0" level="1" rowHeight="234950"/>
  <slicer name="Status" xr10:uid="{F90546C9-B0CB-4068-AE82-6B43F798F973}" cache="Slicer_Status" caption="Status" showCaption="0" level="1" rowHeight="234950"/>
  <slicer name="Equipment_Name 1" xr10:uid="{BA79B95C-D52B-40CE-B052-DD238A7CB9BA}" cache="Slicer_Equipment_Name1" caption="Equipment_Name" columnCount="3"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41C172B7-A180-47F6-BFEA-651E9EA1E1F2}" cache="Slicer_Department1" caption="Department" showCaption="0" level="1" rowHeight="234950"/>
  <slicer name="Maintenance_Type 2" xr10:uid="{A1DB6389-483B-4FCD-B4E0-DA71CA80248F}" cache="Slicer_Maintenance_Type" caption="Maintenance_Type" showCaption="0" level="1" rowHeight="234950"/>
  <slicer name="Status 2" xr10:uid="{F7D27DC7-837B-48A0-97AA-910F41A95C79}" cache="Slicer_Status" caption="Status" showCaption="0" level="1" rowHeight="234950"/>
  <slicer name="Equipment_Name 4" xr10:uid="{ACAB2950-D647-478C-8A0D-72FD0364C36C}" cache="Slicer_Equipment_Name1" caption="Equipment_Name" showCaption="0" level="1" rowHeight="23495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572F89-56FA-4ECF-82FA-DC93EE4D9D6E}">
  <we:reference id="wa200005502" version="1.0.0.13" store="en-US" storeType="OMEX"/>
  <we:alternateReferences>
    <we:reference id="wa200005502" version="1.0.0.13" store="wa200005502" storeType="OMEX"/>
  </we:alternateReferences>
  <we:properties>
    <we:property name="docId" value="&quot;2_LYhNKiXB-K3MjMnQzI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76F8-F40C-46FC-8CA2-A3BC9B1802C6}">
  <dimension ref="A2:AC25"/>
  <sheetViews>
    <sheetView topLeftCell="H1" zoomScale="78" workbookViewId="0">
      <selection activeCell="O14" sqref="O14"/>
    </sheetView>
  </sheetViews>
  <sheetFormatPr defaultRowHeight="14.4" x14ac:dyDescent="0.3"/>
  <cols>
    <col min="1" max="1" width="21" bestFit="1" customWidth="1"/>
    <col min="2" max="2" width="16.109375" bestFit="1" customWidth="1"/>
    <col min="3" max="9" width="7.33203125" bestFit="1" customWidth="1"/>
    <col min="10" max="10" width="10.88671875" bestFit="1" customWidth="1"/>
    <col min="11" max="18" width="7.33203125" bestFit="1" customWidth="1"/>
    <col min="19" max="19" width="8.77734375" bestFit="1" customWidth="1"/>
    <col min="20" max="20" width="14" bestFit="1" customWidth="1"/>
    <col min="21" max="27" width="7.33203125" bestFit="1" customWidth="1"/>
    <col min="28" max="28" width="16.88671875" bestFit="1" customWidth="1"/>
    <col min="29" max="29" width="10.88671875" bestFit="1" customWidth="1"/>
    <col min="30" max="30" width="9.33203125" bestFit="1" customWidth="1"/>
    <col min="31" max="31" width="9.77734375" bestFit="1" customWidth="1"/>
    <col min="32" max="32" width="12.109375" bestFit="1" customWidth="1"/>
    <col min="33" max="33" width="12" bestFit="1" customWidth="1"/>
    <col min="34" max="35" width="10.88671875" bestFit="1" customWidth="1"/>
  </cols>
  <sheetData>
    <row r="2" spans="1:29" x14ac:dyDescent="0.3">
      <c r="A2" s="15" t="s">
        <v>1</v>
      </c>
      <c r="B2" t="s">
        <v>97</v>
      </c>
    </row>
    <row r="4" spans="1:29" x14ac:dyDescent="0.3">
      <c r="A4" s="15" t="s">
        <v>101</v>
      </c>
      <c r="B4" s="15" t="s">
        <v>96</v>
      </c>
    </row>
    <row r="5" spans="1:29" x14ac:dyDescent="0.3">
      <c r="B5" t="s">
        <v>35</v>
      </c>
      <c r="J5" t="s">
        <v>102</v>
      </c>
      <c r="K5" t="s">
        <v>25</v>
      </c>
      <c r="S5" t="s">
        <v>103</v>
      </c>
      <c r="T5" t="s">
        <v>20</v>
      </c>
      <c r="AB5" t="s">
        <v>104</v>
      </c>
      <c r="AC5" t="s">
        <v>95</v>
      </c>
    </row>
    <row r="6" spans="1:29" x14ac:dyDescent="0.3">
      <c r="A6" s="15" t="s">
        <v>94</v>
      </c>
      <c r="B6" t="s">
        <v>50</v>
      </c>
      <c r="C6" t="s">
        <v>19</v>
      </c>
      <c r="D6" t="s">
        <v>29</v>
      </c>
      <c r="E6" t="s">
        <v>24</v>
      </c>
      <c r="F6" t="s">
        <v>38</v>
      </c>
      <c r="G6" t="s">
        <v>40</v>
      </c>
      <c r="H6" t="s">
        <v>49</v>
      </c>
      <c r="I6" t="s">
        <v>51</v>
      </c>
      <c r="K6" t="s">
        <v>50</v>
      </c>
      <c r="L6" t="s">
        <v>19</v>
      </c>
      <c r="M6" t="s">
        <v>29</v>
      </c>
      <c r="N6" t="s">
        <v>24</v>
      </c>
      <c r="O6" t="s">
        <v>38</v>
      </c>
      <c r="P6" t="s">
        <v>40</v>
      </c>
      <c r="Q6" t="s">
        <v>49</v>
      </c>
      <c r="R6" t="s">
        <v>51</v>
      </c>
      <c r="T6" t="s">
        <v>50</v>
      </c>
      <c r="U6" t="s">
        <v>19</v>
      </c>
      <c r="V6" t="s">
        <v>29</v>
      </c>
      <c r="W6" t="s">
        <v>24</v>
      </c>
      <c r="X6" t="s">
        <v>38</v>
      </c>
      <c r="Y6" t="s">
        <v>40</v>
      </c>
      <c r="Z6" t="s">
        <v>49</v>
      </c>
      <c r="AA6" t="s">
        <v>51</v>
      </c>
    </row>
    <row r="7" spans="1:29" x14ac:dyDescent="0.3">
      <c r="A7" s="16" t="s">
        <v>36</v>
      </c>
      <c r="B7">
        <v>1</v>
      </c>
      <c r="C7">
        <v>5</v>
      </c>
      <c r="D7">
        <v>1</v>
      </c>
      <c r="F7">
        <v>5</v>
      </c>
      <c r="G7">
        <v>5</v>
      </c>
      <c r="J7">
        <v>17</v>
      </c>
      <c r="N7">
        <v>1</v>
      </c>
      <c r="O7">
        <v>2</v>
      </c>
      <c r="R7">
        <v>1</v>
      </c>
      <c r="S7">
        <v>4</v>
      </c>
      <c r="T7">
        <v>2</v>
      </c>
      <c r="U7">
        <v>3</v>
      </c>
      <c r="V7">
        <v>2</v>
      </c>
      <c r="W7">
        <v>2</v>
      </c>
      <c r="X7">
        <v>2</v>
      </c>
      <c r="Y7">
        <v>2</v>
      </c>
      <c r="Z7">
        <v>3</v>
      </c>
      <c r="AA7">
        <v>5</v>
      </c>
      <c r="AB7">
        <v>21</v>
      </c>
      <c r="AC7">
        <v>42</v>
      </c>
    </row>
    <row r="8" spans="1:29" x14ac:dyDescent="0.3">
      <c r="A8" s="16" t="s">
        <v>106</v>
      </c>
    </row>
    <row r="9" spans="1:29" x14ac:dyDescent="0.3">
      <c r="A9" s="16" t="s">
        <v>107</v>
      </c>
    </row>
    <row r="10" spans="1:29" x14ac:dyDescent="0.3">
      <c r="A10" s="16" t="s">
        <v>108</v>
      </c>
    </row>
    <row r="11" spans="1:29" x14ac:dyDescent="0.3">
      <c r="A11" s="16" t="s">
        <v>109</v>
      </c>
    </row>
    <row r="12" spans="1:29" x14ac:dyDescent="0.3">
      <c r="A12" s="16" t="s">
        <v>110</v>
      </c>
    </row>
    <row r="13" spans="1:29" x14ac:dyDescent="0.3">
      <c r="A13" s="16" t="s">
        <v>111</v>
      </c>
    </row>
    <row r="14" spans="1:29" x14ac:dyDescent="0.3">
      <c r="A14" s="16" t="s">
        <v>23</v>
      </c>
      <c r="B14">
        <v>1</v>
      </c>
      <c r="C14">
        <v>5</v>
      </c>
      <c r="D14">
        <v>2</v>
      </c>
      <c r="E14">
        <v>2</v>
      </c>
      <c r="F14">
        <v>4</v>
      </c>
      <c r="H14">
        <v>1</v>
      </c>
      <c r="I14">
        <v>2</v>
      </c>
      <c r="J14">
        <v>17</v>
      </c>
      <c r="K14">
        <v>1</v>
      </c>
      <c r="L14">
        <v>1</v>
      </c>
      <c r="M14">
        <v>3</v>
      </c>
      <c r="N14">
        <v>1</v>
      </c>
      <c r="O14">
        <v>1</v>
      </c>
      <c r="P14">
        <v>1</v>
      </c>
      <c r="Q14">
        <v>1</v>
      </c>
      <c r="R14">
        <v>1</v>
      </c>
      <c r="S14">
        <v>10</v>
      </c>
      <c r="T14">
        <v>1</v>
      </c>
      <c r="U14">
        <v>1</v>
      </c>
      <c r="V14">
        <v>2</v>
      </c>
      <c r="W14">
        <v>2</v>
      </c>
      <c r="X14">
        <v>1</v>
      </c>
      <c r="Y14">
        <v>3</v>
      </c>
      <c r="Z14">
        <v>3</v>
      </c>
      <c r="AA14">
        <v>1</v>
      </c>
      <c r="AB14">
        <v>14</v>
      </c>
      <c r="AC14">
        <v>41</v>
      </c>
    </row>
    <row r="15" spans="1:29" x14ac:dyDescent="0.3">
      <c r="A15" s="16" t="s">
        <v>39</v>
      </c>
      <c r="B15">
        <v>2</v>
      </c>
      <c r="C15">
        <v>2</v>
      </c>
      <c r="D15">
        <v>3</v>
      </c>
      <c r="E15">
        <v>4</v>
      </c>
      <c r="G15">
        <v>3</v>
      </c>
      <c r="H15">
        <v>2</v>
      </c>
      <c r="I15">
        <v>2</v>
      </c>
      <c r="J15">
        <v>18</v>
      </c>
      <c r="K15">
        <v>1</v>
      </c>
      <c r="L15">
        <v>3</v>
      </c>
      <c r="M15">
        <v>1</v>
      </c>
      <c r="N15">
        <v>1</v>
      </c>
      <c r="Q15">
        <v>1</v>
      </c>
      <c r="R15">
        <v>1</v>
      </c>
      <c r="S15">
        <v>8</v>
      </c>
      <c r="T15">
        <v>1</v>
      </c>
      <c r="V15">
        <v>2</v>
      </c>
      <c r="W15">
        <v>1</v>
      </c>
      <c r="X15">
        <v>2</v>
      </c>
      <c r="Y15">
        <v>1</v>
      </c>
      <c r="Z15">
        <v>1</v>
      </c>
      <c r="AA15">
        <v>2</v>
      </c>
      <c r="AB15">
        <v>10</v>
      </c>
      <c r="AC15">
        <v>36</v>
      </c>
    </row>
    <row r="16" spans="1:29" x14ac:dyDescent="0.3">
      <c r="A16" s="16" t="s">
        <v>16</v>
      </c>
      <c r="B16">
        <v>7</v>
      </c>
      <c r="C16">
        <v>4</v>
      </c>
      <c r="D16">
        <v>3</v>
      </c>
      <c r="E16">
        <v>5</v>
      </c>
      <c r="F16">
        <v>3</v>
      </c>
      <c r="G16">
        <v>2</v>
      </c>
      <c r="H16">
        <v>3</v>
      </c>
      <c r="I16">
        <v>4</v>
      </c>
      <c r="J16">
        <v>31</v>
      </c>
      <c r="K16">
        <v>1</v>
      </c>
      <c r="M16">
        <v>1</v>
      </c>
      <c r="O16">
        <v>2</v>
      </c>
      <c r="Q16">
        <v>2</v>
      </c>
      <c r="R16">
        <v>1</v>
      </c>
      <c r="S16">
        <v>7</v>
      </c>
      <c r="T16">
        <v>3</v>
      </c>
      <c r="U16">
        <v>2</v>
      </c>
      <c r="V16">
        <v>1</v>
      </c>
      <c r="W16">
        <v>2</v>
      </c>
      <c r="X16">
        <v>2</v>
      </c>
      <c r="Y16">
        <v>4</v>
      </c>
      <c r="Z16">
        <v>1</v>
      </c>
      <c r="AA16">
        <v>1</v>
      </c>
      <c r="AB16">
        <v>16</v>
      </c>
      <c r="AC16">
        <v>54</v>
      </c>
    </row>
    <row r="17" spans="1:29" x14ac:dyDescent="0.3">
      <c r="A17" s="16" t="s">
        <v>41</v>
      </c>
      <c r="B17">
        <v>3</v>
      </c>
      <c r="C17">
        <v>3</v>
      </c>
      <c r="D17">
        <v>5</v>
      </c>
      <c r="E17">
        <v>3</v>
      </c>
      <c r="F17">
        <v>5</v>
      </c>
      <c r="G17">
        <v>4</v>
      </c>
      <c r="H17">
        <v>3</v>
      </c>
      <c r="I17">
        <v>4</v>
      </c>
      <c r="J17">
        <v>30</v>
      </c>
      <c r="K17">
        <v>1</v>
      </c>
      <c r="M17">
        <v>2</v>
      </c>
      <c r="P17">
        <v>1</v>
      </c>
      <c r="R17">
        <v>1</v>
      </c>
      <c r="S17">
        <v>5</v>
      </c>
      <c r="U17">
        <v>4</v>
      </c>
      <c r="V17">
        <v>3</v>
      </c>
      <c r="W17">
        <v>2</v>
      </c>
      <c r="X17">
        <v>4</v>
      </c>
      <c r="Y17">
        <v>3</v>
      </c>
      <c r="Z17">
        <v>2</v>
      </c>
      <c r="AA17">
        <v>2</v>
      </c>
      <c r="AB17">
        <v>20</v>
      </c>
      <c r="AC17">
        <v>55</v>
      </c>
    </row>
    <row r="18" spans="1:29" x14ac:dyDescent="0.3">
      <c r="A18" s="16" t="s">
        <v>32</v>
      </c>
      <c r="C18">
        <v>5</v>
      </c>
      <c r="D18">
        <v>1</v>
      </c>
      <c r="E18">
        <v>3</v>
      </c>
      <c r="F18">
        <v>1</v>
      </c>
      <c r="G18">
        <v>3</v>
      </c>
      <c r="H18">
        <v>2</v>
      </c>
      <c r="I18">
        <v>2</v>
      </c>
      <c r="J18">
        <v>17</v>
      </c>
      <c r="K18">
        <v>3</v>
      </c>
      <c r="O18">
        <v>1</v>
      </c>
      <c r="P18">
        <v>2</v>
      </c>
      <c r="Q18">
        <v>1</v>
      </c>
      <c r="S18">
        <v>7</v>
      </c>
      <c r="T18">
        <v>2</v>
      </c>
      <c r="U18">
        <v>2</v>
      </c>
      <c r="V18">
        <v>1</v>
      </c>
      <c r="X18">
        <v>1</v>
      </c>
      <c r="Y18">
        <v>1</v>
      </c>
      <c r="Z18">
        <v>2</v>
      </c>
      <c r="AA18">
        <v>2</v>
      </c>
      <c r="AB18">
        <v>11</v>
      </c>
      <c r="AC18">
        <v>35</v>
      </c>
    </row>
    <row r="19" spans="1:29" x14ac:dyDescent="0.3">
      <c r="A19" s="16" t="s">
        <v>47</v>
      </c>
      <c r="B19">
        <v>1</v>
      </c>
      <c r="E19">
        <v>2</v>
      </c>
      <c r="F19">
        <v>2</v>
      </c>
      <c r="G19">
        <v>4</v>
      </c>
      <c r="H19">
        <v>2</v>
      </c>
      <c r="I19">
        <v>3</v>
      </c>
      <c r="J19">
        <v>14</v>
      </c>
      <c r="L19">
        <v>1</v>
      </c>
      <c r="M19">
        <v>2</v>
      </c>
      <c r="O19">
        <v>1</v>
      </c>
      <c r="P19">
        <v>3</v>
      </c>
      <c r="Q19">
        <v>1</v>
      </c>
      <c r="R19">
        <v>2</v>
      </c>
      <c r="S19">
        <v>10</v>
      </c>
      <c r="T19">
        <v>2</v>
      </c>
      <c r="U19">
        <v>1</v>
      </c>
      <c r="V19">
        <v>1</v>
      </c>
      <c r="W19">
        <v>1</v>
      </c>
      <c r="X19">
        <v>4</v>
      </c>
      <c r="Y19">
        <v>2</v>
      </c>
      <c r="Z19">
        <v>2</v>
      </c>
      <c r="AB19">
        <v>13</v>
      </c>
      <c r="AC19">
        <v>37</v>
      </c>
    </row>
    <row r="20" spans="1:29" x14ac:dyDescent="0.3">
      <c r="A20" s="16" t="s">
        <v>119</v>
      </c>
    </row>
    <row r="21" spans="1:29" x14ac:dyDescent="0.3">
      <c r="A21" s="16" t="s">
        <v>120</v>
      </c>
    </row>
    <row r="22" spans="1:29" x14ac:dyDescent="0.3">
      <c r="A22" s="16" t="s">
        <v>121</v>
      </c>
    </row>
    <row r="23" spans="1:29" x14ac:dyDescent="0.3">
      <c r="A23" s="16" t="s">
        <v>122</v>
      </c>
    </row>
    <row r="24" spans="1:29" x14ac:dyDescent="0.3">
      <c r="A24" s="16" t="s">
        <v>123</v>
      </c>
    </row>
    <row r="25" spans="1:29" x14ac:dyDescent="0.3">
      <c r="A25" s="16" t="s">
        <v>95</v>
      </c>
      <c r="B25">
        <v>15</v>
      </c>
      <c r="C25">
        <v>24</v>
      </c>
      <c r="D25">
        <v>15</v>
      </c>
      <c r="E25">
        <v>19</v>
      </c>
      <c r="F25">
        <v>20</v>
      </c>
      <c r="G25">
        <v>21</v>
      </c>
      <c r="H25">
        <v>13</v>
      </c>
      <c r="I25">
        <v>17</v>
      </c>
      <c r="J25">
        <v>144</v>
      </c>
      <c r="K25">
        <v>7</v>
      </c>
      <c r="L25">
        <v>5</v>
      </c>
      <c r="M25">
        <v>9</v>
      </c>
      <c r="N25">
        <v>3</v>
      </c>
      <c r="O25">
        <v>7</v>
      </c>
      <c r="P25">
        <v>7</v>
      </c>
      <c r="Q25">
        <v>6</v>
      </c>
      <c r="R25">
        <v>7</v>
      </c>
      <c r="S25">
        <v>51</v>
      </c>
      <c r="T25">
        <v>11</v>
      </c>
      <c r="U25">
        <v>13</v>
      </c>
      <c r="V25">
        <v>12</v>
      </c>
      <c r="W25">
        <v>10</v>
      </c>
      <c r="X25">
        <v>16</v>
      </c>
      <c r="Y25">
        <v>16</v>
      </c>
      <c r="Z25">
        <v>14</v>
      </c>
      <c r="AA25">
        <v>13</v>
      </c>
      <c r="AB25">
        <v>105</v>
      </c>
      <c r="AC25">
        <v>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CAA1-31D3-440B-B330-C88FDC967CD0}">
  <dimension ref="A3:G31"/>
  <sheetViews>
    <sheetView topLeftCell="H1" zoomScale="77" zoomScaleNormal="83" workbookViewId="0">
      <selection activeCell="C5" sqref="A1:XFD1048576"/>
    </sheetView>
  </sheetViews>
  <sheetFormatPr defaultRowHeight="14.4" x14ac:dyDescent="0.3"/>
  <cols>
    <col min="1" max="1" width="13.33203125" bestFit="1" customWidth="1"/>
    <col min="2" max="2" width="23.88671875" bestFit="1" customWidth="1"/>
    <col min="3" max="3" width="24.109375" bestFit="1" customWidth="1"/>
    <col min="4" max="4" width="23.88671875" bestFit="1" customWidth="1"/>
    <col min="5" max="5" width="24.109375" bestFit="1" customWidth="1"/>
    <col min="6" max="6" width="28.77734375" bestFit="1" customWidth="1"/>
    <col min="7" max="7" width="29" bestFit="1" customWidth="1"/>
    <col min="8" max="8" width="28.5546875" bestFit="1" customWidth="1"/>
    <col min="9" max="9" width="28.77734375" bestFit="1" customWidth="1"/>
    <col min="10" max="14" width="6" bestFit="1" customWidth="1"/>
    <col min="15" max="15" width="23.109375" bestFit="1" customWidth="1"/>
    <col min="16" max="16" width="12.44140625" bestFit="1" customWidth="1"/>
    <col min="17" max="27" width="6" bestFit="1" customWidth="1"/>
    <col min="28" max="28" width="15.109375" bestFit="1" customWidth="1"/>
    <col min="29" max="29" width="13.33203125" bestFit="1" customWidth="1"/>
    <col min="30" max="38" width="6" bestFit="1" customWidth="1"/>
    <col min="39" max="39" width="16" bestFit="1" customWidth="1"/>
    <col min="40" max="40" width="11" bestFit="1" customWidth="1"/>
    <col min="41" max="41" width="10.33203125" bestFit="1" customWidth="1"/>
    <col min="42" max="42" width="8.21875" bestFit="1" customWidth="1"/>
    <col min="43" max="43" width="10.33203125" bestFit="1" customWidth="1"/>
    <col min="44" max="44" width="8.21875" bestFit="1" customWidth="1"/>
    <col min="45" max="45" width="10.33203125" bestFit="1" customWidth="1"/>
    <col min="46" max="46" width="8.21875" bestFit="1" customWidth="1"/>
    <col min="47" max="47" width="10.33203125" bestFit="1" customWidth="1"/>
    <col min="48" max="48" width="8.21875" bestFit="1" customWidth="1"/>
    <col min="49" max="49" width="10.33203125" bestFit="1" customWidth="1"/>
    <col min="50" max="50" width="7.109375" bestFit="1" customWidth="1"/>
    <col min="51" max="51" width="9.33203125" bestFit="1" customWidth="1"/>
    <col min="52" max="52" width="8.21875" bestFit="1" customWidth="1"/>
    <col min="53" max="53" width="10.33203125" bestFit="1" customWidth="1"/>
    <col min="54" max="54" width="8.21875" bestFit="1" customWidth="1"/>
    <col min="55" max="55" width="10.33203125" bestFit="1" customWidth="1"/>
    <col min="56" max="56" width="15.109375" bestFit="1" customWidth="1"/>
    <col min="57" max="57" width="13.33203125" bestFit="1" customWidth="1"/>
    <col min="58" max="58" width="5" bestFit="1" customWidth="1"/>
    <col min="59" max="59" width="6" bestFit="1" customWidth="1"/>
    <col min="60" max="60" width="6.6640625" bestFit="1" customWidth="1"/>
    <col min="61" max="61" width="7.109375" bestFit="1" customWidth="1"/>
    <col min="62" max="62" width="9.33203125" bestFit="1" customWidth="1"/>
    <col min="63" max="63" width="7.109375" bestFit="1" customWidth="1"/>
    <col min="64" max="64" width="9.33203125" bestFit="1" customWidth="1"/>
    <col min="65" max="65" width="8.21875" bestFit="1" customWidth="1"/>
    <col min="66" max="66" width="10.33203125" bestFit="1" customWidth="1"/>
    <col min="67" max="67" width="8.21875" bestFit="1" customWidth="1"/>
    <col min="68" max="68" width="10.33203125" bestFit="1" customWidth="1"/>
    <col min="69" max="69" width="8.21875" bestFit="1" customWidth="1"/>
    <col min="70" max="70" width="10.33203125" bestFit="1" customWidth="1"/>
    <col min="71" max="71" width="7.109375" bestFit="1" customWidth="1"/>
    <col min="72" max="72" width="9.33203125" bestFit="1" customWidth="1"/>
    <col min="73" max="73" width="8.21875" bestFit="1" customWidth="1"/>
    <col min="74" max="74" width="10.33203125" bestFit="1" customWidth="1"/>
    <col min="75" max="75" width="8.21875" bestFit="1" customWidth="1"/>
    <col min="76" max="76" width="10.33203125" bestFit="1" customWidth="1"/>
    <col min="77" max="77" width="8.21875" bestFit="1" customWidth="1"/>
    <col min="78" max="78" width="10.33203125" bestFit="1" customWidth="1"/>
    <col min="79" max="79" width="16" bestFit="1" customWidth="1"/>
    <col min="80" max="80" width="11" bestFit="1" customWidth="1"/>
    <col min="81" max="81" width="6" bestFit="1" customWidth="1"/>
    <col min="82" max="82" width="5" bestFit="1" customWidth="1"/>
    <col min="83" max="85" width="6" bestFit="1" customWidth="1"/>
    <col min="86" max="86" width="3" bestFit="1" customWidth="1"/>
    <col min="87" max="102" width="6" bestFit="1" customWidth="1"/>
    <col min="103" max="103" width="3" bestFit="1" customWidth="1"/>
    <col min="104" max="137" width="6" bestFit="1" customWidth="1"/>
    <col min="138" max="138" width="5" bestFit="1" customWidth="1"/>
    <col min="139" max="140" width="6" bestFit="1" customWidth="1"/>
    <col min="141" max="141" width="3" bestFit="1" customWidth="1"/>
    <col min="142" max="166" width="6" bestFit="1" customWidth="1"/>
    <col min="167" max="167" width="3" bestFit="1" customWidth="1"/>
    <col min="168" max="218" width="6" bestFit="1" customWidth="1"/>
    <col min="219" max="219" width="3" bestFit="1" customWidth="1"/>
    <col min="220" max="235" width="6" bestFit="1" customWidth="1"/>
    <col min="236" max="236" width="5" bestFit="1" customWidth="1"/>
    <col min="237" max="237" width="3" bestFit="1" customWidth="1"/>
    <col min="238" max="245" width="6" bestFit="1" customWidth="1"/>
    <col min="246" max="246" width="5" bestFit="1" customWidth="1"/>
    <col min="247" max="247" width="6" bestFit="1" customWidth="1"/>
    <col min="248" max="248" width="5" bestFit="1" customWidth="1"/>
    <col min="249" max="253" width="6" bestFit="1" customWidth="1"/>
    <col min="254" max="257" width="5" bestFit="1" customWidth="1"/>
    <col min="258" max="259" width="6" bestFit="1" customWidth="1"/>
    <col min="260" max="260" width="5" bestFit="1" customWidth="1"/>
    <col min="261" max="263" width="6" bestFit="1" customWidth="1"/>
    <col min="264" max="264" width="3" bestFit="1" customWidth="1"/>
    <col min="265" max="267" width="6" bestFit="1" customWidth="1"/>
    <col min="268" max="268" width="5" bestFit="1" customWidth="1"/>
    <col min="269" max="274" width="6" bestFit="1" customWidth="1"/>
    <col min="275" max="275" width="5" bestFit="1" customWidth="1"/>
    <col min="276" max="280" width="6" bestFit="1" customWidth="1"/>
    <col min="281" max="281" width="3" bestFit="1" customWidth="1"/>
    <col min="282" max="283" width="6" bestFit="1" customWidth="1"/>
    <col min="284" max="284" width="4" bestFit="1" customWidth="1"/>
    <col min="285" max="285" width="10.77734375" bestFit="1" customWidth="1"/>
  </cols>
  <sheetData>
    <row r="3" spans="1:7" x14ac:dyDescent="0.3">
      <c r="A3" s="15" t="s">
        <v>3</v>
      </c>
      <c r="B3" t="s">
        <v>97</v>
      </c>
    </row>
    <row r="5" spans="1:7" x14ac:dyDescent="0.3">
      <c r="B5" s="15" t="s">
        <v>96</v>
      </c>
    </row>
    <row r="6" spans="1:7" x14ac:dyDescent="0.3">
      <c r="B6" t="s">
        <v>22</v>
      </c>
      <c r="D6" t="s">
        <v>53</v>
      </c>
      <c r="F6" t="s">
        <v>116</v>
      </c>
      <c r="G6" t="s">
        <v>115</v>
      </c>
    </row>
    <row r="7" spans="1:7" x14ac:dyDescent="0.3">
      <c r="A7" s="15" t="s">
        <v>94</v>
      </c>
      <c r="B7" t="s">
        <v>112</v>
      </c>
      <c r="C7" t="s">
        <v>113</v>
      </c>
      <c r="D7" t="s">
        <v>112</v>
      </c>
      <c r="E7" t="s">
        <v>113</v>
      </c>
    </row>
    <row r="8" spans="1:7" x14ac:dyDescent="0.3">
      <c r="A8" s="16" t="s">
        <v>35</v>
      </c>
      <c r="B8">
        <v>1154.9499999999998</v>
      </c>
      <c r="C8">
        <v>265.13</v>
      </c>
      <c r="D8">
        <v>969.20000000000016</v>
      </c>
      <c r="E8">
        <v>256</v>
      </c>
      <c r="F8">
        <v>2124.15</v>
      </c>
      <c r="G8">
        <v>521.13</v>
      </c>
    </row>
    <row r="9" spans="1:7" x14ac:dyDescent="0.3">
      <c r="A9" s="17">
        <v>6</v>
      </c>
      <c r="B9">
        <v>61.67</v>
      </c>
      <c r="C9">
        <v>25</v>
      </c>
      <c r="F9">
        <v>61.67</v>
      </c>
      <c r="G9">
        <v>25</v>
      </c>
    </row>
    <row r="10" spans="1:7" x14ac:dyDescent="0.3">
      <c r="A10" s="17">
        <v>6.3</v>
      </c>
      <c r="B10">
        <v>69.84</v>
      </c>
      <c r="C10">
        <v>15.87</v>
      </c>
      <c r="F10">
        <v>69.84</v>
      </c>
      <c r="G10">
        <v>15.87</v>
      </c>
    </row>
    <row r="11" spans="1:7" x14ac:dyDescent="0.3">
      <c r="A11" s="17">
        <v>6.4</v>
      </c>
      <c r="D11">
        <v>73.44</v>
      </c>
      <c r="E11">
        <v>18.75</v>
      </c>
      <c r="F11">
        <v>73.44</v>
      </c>
      <c r="G11">
        <v>18.75</v>
      </c>
    </row>
    <row r="12" spans="1:7" x14ac:dyDescent="0.3">
      <c r="A12" s="17">
        <v>6.6</v>
      </c>
      <c r="B12">
        <v>69.7</v>
      </c>
      <c r="C12">
        <v>27.27</v>
      </c>
      <c r="D12">
        <v>84.85</v>
      </c>
      <c r="E12">
        <v>3.03</v>
      </c>
      <c r="F12">
        <v>154.55000000000001</v>
      </c>
      <c r="G12">
        <v>30.3</v>
      </c>
    </row>
    <row r="13" spans="1:7" x14ac:dyDescent="0.3">
      <c r="A13" s="17">
        <v>6.8</v>
      </c>
      <c r="D13">
        <v>67.650000000000006</v>
      </c>
      <c r="E13">
        <v>30.88</v>
      </c>
      <c r="F13">
        <v>67.650000000000006</v>
      </c>
      <c r="G13">
        <v>30.88</v>
      </c>
    </row>
    <row r="14" spans="1:7" x14ac:dyDescent="0.3">
      <c r="A14" s="17">
        <v>7.2</v>
      </c>
      <c r="D14">
        <v>52.78</v>
      </c>
      <c r="E14">
        <v>34.72</v>
      </c>
      <c r="F14">
        <v>52.78</v>
      </c>
      <c r="G14">
        <v>34.72</v>
      </c>
    </row>
    <row r="15" spans="1:7" x14ac:dyDescent="0.3">
      <c r="A15" s="17">
        <v>7.3</v>
      </c>
      <c r="D15">
        <v>115.07</v>
      </c>
      <c r="E15">
        <v>68.5</v>
      </c>
      <c r="F15">
        <v>115.07</v>
      </c>
      <c r="G15">
        <v>68.5</v>
      </c>
    </row>
    <row r="16" spans="1:7" x14ac:dyDescent="0.3">
      <c r="A16" s="17">
        <v>7.5</v>
      </c>
      <c r="B16">
        <v>81.33</v>
      </c>
      <c r="C16">
        <v>14.67</v>
      </c>
      <c r="D16">
        <v>74.67</v>
      </c>
      <c r="E16">
        <v>18.670000000000002</v>
      </c>
      <c r="F16">
        <v>156</v>
      </c>
      <c r="G16">
        <v>33.340000000000003</v>
      </c>
    </row>
    <row r="17" spans="1:7" x14ac:dyDescent="0.3">
      <c r="A17" s="17">
        <v>7.6</v>
      </c>
      <c r="B17">
        <v>51.32</v>
      </c>
      <c r="C17">
        <v>39.47</v>
      </c>
      <c r="D17">
        <v>94.74</v>
      </c>
      <c r="E17">
        <v>3.95</v>
      </c>
      <c r="F17">
        <v>146.06</v>
      </c>
      <c r="G17">
        <v>43.42</v>
      </c>
    </row>
    <row r="18" spans="1:7" x14ac:dyDescent="0.3">
      <c r="A18" s="17">
        <v>7.8</v>
      </c>
      <c r="B18">
        <v>98.72</v>
      </c>
      <c r="C18">
        <v>0</v>
      </c>
      <c r="F18">
        <v>98.72</v>
      </c>
      <c r="G18">
        <v>0</v>
      </c>
    </row>
    <row r="19" spans="1:7" x14ac:dyDescent="0.3">
      <c r="A19" s="17">
        <v>7.9</v>
      </c>
      <c r="B19">
        <v>130.38</v>
      </c>
      <c r="C19">
        <v>56.96</v>
      </c>
      <c r="F19">
        <v>130.38</v>
      </c>
      <c r="G19">
        <v>56.96</v>
      </c>
    </row>
    <row r="20" spans="1:7" x14ac:dyDescent="0.3">
      <c r="A20" s="17">
        <v>8.3000000000000007</v>
      </c>
      <c r="B20">
        <v>100</v>
      </c>
      <c r="C20">
        <v>0</v>
      </c>
      <c r="F20">
        <v>100</v>
      </c>
      <c r="G20">
        <v>0</v>
      </c>
    </row>
    <row r="21" spans="1:7" x14ac:dyDescent="0.3">
      <c r="A21" s="17">
        <v>8.6</v>
      </c>
      <c r="D21">
        <v>63.95</v>
      </c>
      <c r="E21">
        <v>31.4</v>
      </c>
      <c r="F21">
        <v>63.95</v>
      </c>
      <c r="G21">
        <v>31.4</v>
      </c>
    </row>
    <row r="22" spans="1:7" x14ac:dyDescent="0.3">
      <c r="A22" s="17">
        <v>9</v>
      </c>
      <c r="B22">
        <v>77.78</v>
      </c>
      <c r="C22">
        <v>18.89</v>
      </c>
      <c r="F22">
        <v>77.78</v>
      </c>
      <c r="G22">
        <v>18.89</v>
      </c>
    </row>
    <row r="23" spans="1:7" x14ac:dyDescent="0.3">
      <c r="A23" s="17">
        <v>9.1999999999999993</v>
      </c>
      <c r="B23">
        <v>80.430000000000007</v>
      </c>
      <c r="C23">
        <v>13.04</v>
      </c>
      <c r="F23">
        <v>80.430000000000007</v>
      </c>
      <c r="G23">
        <v>13.04</v>
      </c>
    </row>
    <row r="24" spans="1:7" x14ac:dyDescent="0.3">
      <c r="A24" s="17">
        <v>9.5</v>
      </c>
      <c r="B24">
        <v>94.74</v>
      </c>
      <c r="C24">
        <v>1.05</v>
      </c>
      <c r="F24">
        <v>94.74</v>
      </c>
      <c r="G24">
        <v>1.05</v>
      </c>
    </row>
    <row r="25" spans="1:7" x14ac:dyDescent="0.3">
      <c r="A25" s="17">
        <v>9.6999999999999993</v>
      </c>
      <c r="B25">
        <v>64.95</v>
      </c>
      <c r="C25">
        <v>28.87</v>
      </c>
      <c r="D25">
        <v>74.23</v>
      </c>
      <c r="E25">
        <v>24.74</v>
      </c>
      <c r="F25">
        <v>139.18</v>
      </c>
      <c r="G25">
        <v>53.61</v>
      </c>
    </row>
    <row r="26" spans="1:7" x14ac:dyDescent="0.3">
      <c r="A26" s="17">
        <v>9.9</v>
      </c>
      <c r="D26">
        <v>94.95</v>
      </c>
      <c r="E26">
        <v>0</v>
      </c>
      <c r="F26">
        <v>94.95</v>
      </c>
      <c r="G26">
        <v>0</v>
      </c>
    </row>
    <row r="27" spans="1:7" x14ac:dyDescent="0.3">
      <c r="A27" s="17">
        <v>10.3</v>
      </c>
      <c r="D27">
        <v>73.790000000000006</v>
      </c>
      <c r="E27">
        <v>21.36</v>
      </c>
      <c r="F27">
        <v>73.790000000000006</v>
      </c>
      <c r="G27">
        <v>21.36</v>
      </c>
    </row>
    <row r="28" spans="1:7" x14ac:dyDescent="0.3">
      <c r="A28" s="17">
        <v>10.4</v>
      </c>
      <c r="B28">
        <v>75.959999999999994</v>
      </c>
      <c r="C28">
        <v>24.04</v>
      </c>
      <c r="F28">
        <v>75.959999999999994</v>
      </c>
      <c r="G28">
        <v>24.04</v>
      </c>
    </row>
    <row r="29" spans="1:7" x14ac:dyDescent="0.3">
      <c r="A29" s="17">
        <v>10.7</v>
      </c>
      <c r="B29">
        <v>98.13</v>
      </c>
      <c r="C29">
        <v>0</v>
      </c>
      <c r="F29">
        <v>98.13</v>
      </c>
      <c r="G29">
        <v>0</v>
      </c>
    </row>
    <row r="30" spans="1:7" x14ac:dyDescent="0.3">
      <c r="A30" s="17">
        <v>10.9</v>
      </c>
      <c r="D30">
        <v>99.08</v>
      </c>
      <c r="E30">
        <v>0</v>
      </c>
      <c r="F30">
        <v>99.08</v>
      </c>
      <c r="G30">
        <v>0</v>
      </c>
    </row>
    <row r="31" spans="1:7" x14ac:dyDescent="0.3">
      <c r="A31" s="16" t="s">
        <v>95</v>
      </c>
      <c r="B31">
        <v>1154.9499999999998</v>
      </c>
      <c r="C31">
        <v>265.13</v>
      </c>
      <c r="D31">
        <v>969.20000000000016</v>
      </c>
      <c r="E31">
        <v>256</v>
      </c>
      <c r="F31">
        <v>2124.15</v>
      </c>
      <c r="G31">
        <v>521.13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1646-305B-4896-BE97-336595A82AC9}">
  <dimension ref="A3:AP80"/>
  <sheetViews>
    <sheetView topLeftCell="E4" zoomScale="73" workbookViewId="0">
      <selection activeCell="J35" sqref="J35"/>
    </sheetView>
  </sheetViews>
  <sheetFormatPr defaultRowHeight="14.4" x14ac:dyDescent="0.3"/>
  <cols>
    <col min="1" max="1" width="24" bestFit="1" customWidth="1"/>
    <col min="2" max="2" width="18" bestFit="1" customWidth="1"/>
    <col min="3" max="3" width="9.77734375" bestFit="1" customWidth="1"/>
    <col min="4" max="4" width="12" bestFit="1" customWidth="1"/>
    <col min="5" max="5" width="20.77734375" bestFit="1" customWidth="1"/>
    <col min="6" max="6" width="12" bestFit="1" customWidth="1"/>
    <col min="7" max="7" width="18" bestFit="1" customWidth="1"/>
    <col min="8" max="8" width="9.77734375" bestFit="1" customWidth="1"/>
    <col min="9" max="9" width="12" bestFit="1" customWidth="1"/>
    <col min="10" max="10" width="20.77734375" bestFit="1" customWidth="1"/>
    <col min="11" max="11" width="12" bestFit="1" customWidth="1"/>
    <col min="12" max="12" width="18" bestFit="1" customWidth="1"/>
    <col min="13" max="13" width="9.77734375" bestFit="1" customWidth="1"/>
    <col min="14" max="14" width="12" bestFit="1" customWidth="1"/>
    <col min="15" max="15" width="20.77734375" bestFit="1" customWidth="1"/>
    <col min="16" max="16" width="12" bestFit="1" customWidth="1"/>
    <col min="17" max="17" width="18" bestFit="1" customWidth="1"/>
    <col min="18" max="18" width="9.77734375" bestFit="1" customWidth="1"/>
    <col min="19" max="19" width="12" bestFit="1" customWidth="1"/>
    <col min="20" max="20" width="20.77734375" bestFit="1" customWidth="1"/>
    <col min="21" max="21" width="12" bestFit="1" customWidth="1"/>
    <col min="22" max="22" width="18" bestFit="1" customWidth="1"/>
    <col min="23" max="23" width="9.77734375" bestFit="1" customWidth="1"/>
    <col min="24" max="24" width="12" bestFit="1" customWidth="1"/>
    <col min="25" max="25" width="20.77734375" bestFit="1" customWidth="1"/>
    <col min="26" max="26" width="12" bestFit="1" customWidth="1"/>
    <col min="27" max="27" width="18" bestFit="1" customWidth="1"/>
    <col min="28" max="28" width="9.77734375" bestFit="1" customWidth="1"/>
    <col min="29" max="29" width="12" bestFit="1" customWidth="1"/>
    <col min="30" max="30" width="20.77734375" bestFit="1" customWidth="1"/>
    <col min="31" max="31" width="12" bestFit="1" customWidth="1"/>
    <col min="32" max="32" width="18" bestFit="1" customWidth="1"/>
    <col min="33" max="33" width="9.77734375" bestFit="1" customWidth="1"/>
    <col min="34" max="34" width="12" bestFit="1" customWidth="1"/>
    <col min="35" max="35" width="20.77734375" bestFit="1" customWidth="1"/>
    <col min="36" max="36" width="12" bestFit="1" customWidth="1"/>
    <col min="37" max="37" width="18" bestFit="1" customWidth="1"/>
    <col min="38" max="38" width="9.77734375" bestFit="1" customWidth="1"/>
    <col min="39" max="39" width="12" bestFit="1" customWidth="1"/>
    <col min="40" max="40" width="20.77734375" bestFit="1" customWidth="1"/>
    <col min="41" max="41" width="12" bestFit="1" customWidth="1"/>
    <col min="42" max="42" width="10.77734375" bestFit="1" customWidth="1"/>
    <col min="43" max="43" width="23.88671875" bestFit="1" customWidth="1"/>
    <col min="44" max="44" width="18" bestFit="1" customWidth="1"/>
    <col min="45" max="45" width="20.77734375" bestFit="1" customWidth="1"/>
    <col min="46" max="46" width="14.44140625" bestFit="1" customWidth="1"/>
    <col min="47" max="47" width="17.21875" bestFit="1" customWidth="1"/>
    <col min="48" max="48" width="23.6640625" bestFit="1" customWidth="1"/>
    <col min="49" max="49" width="26.44140625" bestFit="1" customWidth="1"/>
    <col min="50" max="50" width="15.88671875" bestFit="1" customWidth="1"/>
    <col min="51" max="51" width="18.6640625" bestFit="1" customWidth="1"/>
    <col min="52" max="52" width="12" bestFit="1" customWidth="1"/>
    <col min="53" max="53" width="12.109375" bestFit="1" customWidth="1"/>
    <col min="54" max="54" width="14.88671875" bestFit="1" customWidth="1"/>
    <col min="55" max="55" width="13.33203125" bestFit="1" customWidth="1"/>
    <col min="56" max="56" width="16.109375" bestFit="1" customWidth="1"/>
    <col min="57" max="57" width="9.77734375" bestFit="1" customWidth="1"/>
    <col min="58" max="58" width="10.21875" bestFit="1" customWidth="1"/>
    <col min="59" max="59" width="21.109375" bestFit="1" customWidth="1"/>
    <col min="60" max="60" width="23.88671875" bestFit="1" customWidth="1"/>
    <col min="61" max="61" width="18" bestFit="1" customWidth="1"/>
    <col min="62" max="62" width="20.77734375" bestFit="1" customWidth="1"/>
    <col min="63" max="63" width="14.44140625" bestFit="1" customWidth="1"/>
    <col min="64" max="64" width="17.21875" bestFit="1" customWidth="1"/>
    <col min="65" max="65" width="23.6640625" bestFit="1" customWidth="1"/>
    <col min="66" max="66" width="26.44140625" bestFit="1" customWidth="1"/>
    <col min="67" max="67" width="15.88671875" bestFit="1" customWidth="1"/>
    <col min="68" max="68" width="18.6640625" bestFit="1" customWidth="1"/>
    <col min="69" max="69" width="12" bestFit="1" customWidth="1"/>
    <col min="70" max="70" width="12.109375" bestFit="1" customWidth="1"/>
    <col min="71" max="71" width="14.88671875" bestFit="1" customWidth="1"/>
    <col min="72" max="72" width="13.33203125" bestFit="1" customWidth="1"/>
    <col min="73" max="73" width="16.109375" bestFit="1" customWidth="1"/>
    <col min="74" max="74" width="9.77734375" bestFit="1" customWidth="1"/>
    <col min="75" max="75" width="10.21875" bestFit="1" customWidth="1"/>
    <col min="76" max="76" width="21.109375" bestFit="1" customWidth="1"/>
    <col min="77" max="77" width="23.88671875" bestFit="1" customWidth="1"/>
    <col min="78" max="78" width="18" bestFit="1" customWidth="1"/>
    <col min="79" max="79" width="20.77734375" bestFit="1" customWidth="1"/>
    <col min="80" max="80" width="14.44140625" bestFit="1" customWidth="1"/>
    <col min="81" max="81" width="17.21875" bestFit="1" customWidth="1"/>
    <col min="82" max="82" width="23.6640625" bestFit="1" customWidth="1"/>
    <col min="83" max="83" width="26.44140625" bestFit="1" customWidth="1"/>
    <col min="84" max="84" width="15.88671875" bestFit="1" customWidth="1"/>
    <col min="85" max="85" width="18.6640625" bestFit="1" customWidth="1"/>
    <col min="86" max="86" width="12" bestFit="1" customWidth="1"/>
    <col min="87" max="87" width="12.109375" bestFit="1" customWidth="1"/>
    <col min="88" max="88" width="14.88671875" bestFit="1" customWidth="1"/>
    <col min="89" max="89" width="13.33203125" bestFit="1" customWidth="1"/>
    <col min="90" max="90" width="16.109375" bestFit="1" customWidth="1"/>
    <col min="91" max="91" width="9.77734375" bestFit="1" customWidth="1"/>
    <col min="92" max="92" width="10.21875" bestFit="1" customWidth="1"/>
    <col min="93" max="93" width="21.109375" bestFit="1" customWidth="1"/>
    <col min="94" max="94" width="23.88671875" bestFit="1" customWidth="1"/>
    <col min="95" max="95" width="18" bestFit="1" customWidth="1"/>
    <col min="96" max="96" width="20.77734375" bestFit="1" customWidth="1"/>
    <col min="97" max="97" width="14.44140625" bestFit="1" customWidth="1"/>
    <col min="98" max="98" width="17.21875" bestFit="1" customWidth="1"/>
    <col min="99" max="99" width="23.6640625" bestFit="1" customWidth="1"/>
    <col min="100" max="100" width="26.44140625" bestFit="1" customWidth="1"/>
    <col min="101" max="101" width="15.88671875" bestFit="1" customWidth="1"/>
    <col min="102" max="102" width="18.6640625" bestFit="1" customWidth="1"/>
    <col min="103" max="103" width="12" bestFit="1" customWidth="1"/>
    <col min="104" max="104" width="12.109375" bestFit="1" customWidth="1"/>
    <col min="105" max="105" width="14.88671875" bestFit="1" customWidth="1"/>
    <col min="106" max="106" width="13.33203125" bestFit="1" customWidth="1"/>
    <col min="107" max="107" width="16.109375" bestFit="1" customWidth="1"/>
    <col min="108" max="108" width="9.77734375" bestFit="1" customWidth="1"/>
    <col min="109" max="109" width="10.21875" bestFit="1" customWidth="1"/>
    <col min="110" max="110" width="21.109375" bestFit="1" customWidth="1"/>
    <col min="111" max="111" width="23.88671875" bestFit="1" customWidth="1"/>
    <col min="112" max="112" width="18" bestFit="1" customWidth="1"/>
    <col min="113" max="113" width="20.77734375" bestFit="1" customWidth="1"/>
    <col min="114" max="114" width="14.44140625" bestFit="1" customWidth="1"/>
    <col min="115" max="115" width="17.21875" bestFit="1" customWidth="1"/>
    <col min="116" max="116" width="23.6640625" bestFit="1" customWidth="1"/>
    <col min="117" max="117" width="26.44140625" bestFit="1" customWidth="1"/>
    <col min="118" max="118" width="15.88671875" bestFit="1" customWidth="1"/>
    <col min="119" max="119" width="18.6640625" bestFit="1" customWidth="1"/>
    <col min="120" max="120" width="12" bestFit="1" customWidth="1"/>
    <col min="121" max="121" width="12.109375" bestFit="1" customWidth="1"/>
    <col min="122" max="122" width="14.88671875" bestFit="1" customWidth="1"/>
    <col min="123" max="123" width="13.33203125" bestFit="1" customWidth="1"/>
    <col min="124" max="124" width="16.109375" bestFit="1" customWidth="1"/>
    <col min="125" max="125" width="9.77734375" bestFit="1" customWidth="1"/>
    <col min="126" max="126" width="10.21875" bestFit="1" customWidth="1"/>
    <col min="127" max="127" width="21.109375" bestFit="1" customWidth="1"/>
    <col min="128" max="128" width="23.88671875" bestFit="1" customWidth="1"/>
    <col min="129" max="129" width="18" bestFit="1" customWidth="1"/>
    <col min="130" max="130" width="20.77734375" bestFit="1" customWidth="1"/>
    <col min="131" max="131" width="14.44140625" bestFit="1" customWidth="1"/>
    <col min="132" max="132" width="17.21875" bestFit="1" customWidth="1"/>
    <col min="133" max="133" width="23.6640625" bestFit="1" customWidth="1"/>
    <col min="134" max="134" width="26.44140625" bestFit="1" customWidth="1"/>
    <col min="135" max="135" width="15.88671875" bestFit="1" customWidth="1"/>
    <col min="136" max="136" width="18.6640625" bestFit="1" customWidth="1"/>
    <col min="137" max="137" width="12" bestFit="1" customWidth="1"/>
    <col min="138" max="138" width="10.77734375" bestFit="1" customWidth="1"/>
    <col min="139" max="139" width="24" bestFit="1" customWidth="1"/>
    <col min="140" max="140" width="30.88671875" bestFit="1" customWidth="1"/>
    <col min="141" max="141" width="33.88671875" bestFit="1" customWidth="1"/>
    <col min="142" max="142" width="21" bestFit="1" customWidth="1"/>
    <col min="143" max="143" width="24" bestFit="1" customWidth="1"/>
    <col min="144" max="144" width="32.109375" bestFit="1" customWidth="1"/>
    <col min="145" max="145" width="35.109375" bestFit="1" customWidth="1"/>
    <col min="146" max="146" width="21" bestFit="1" customWidth="1"/>
    <col min="147" max="147" width="24" bestFit="1" customWidth="1"/>
    <col min="148" max="148" width="26.21875" bestFit="1" customWidth="1"/>
    <col min="149" max="149" width="29.109375" bestFit="1" customWidth="1"/>
    <col min="150" max="150" width="21.109375" bestFit="1" customWidth="1"/>
    <col min="151" max="151" width="24" bestFit="1" customWidth="1"/>
    <col min="152" max="152" width="39.88671875" bestFit="1" customWidth="1"/>
    <col min="153" max="153" width="42.88671875" bestFit="1" customWidth="1"/>
    <col min="154" max="154" width="21" bestFit="1" customWidth="1"/>
    <col min="155" max="155" width="24" bestFit="1" customWidth="1"/>
    <col min="156" max="156" width="36.77734375" bestFit="1" customWidth="1"/>
    <col min="157" max="157" width="39.77734375" bestFit="1" customWidth="1"/>
    <col min="158" max="158" width="21" bestFit="1" customWidth="1"/>
    <col min="159" max="159" width="24" bestFit="1" customWidth="1"/>
    <col min="160" max="160" width="33.109375" bestFit="1" customWidth="1"/>
    <col min="161" max="161" width="36.109375" bestFit="1" customWidth="1"/>
    <col min="162" max="162" width="23.6640625" bestFit="1" customWidth="1"/>
    <col min="163" max="163" width="24" bestFit="1" customWidth="1"/>
    <col min="164" max="164" width="42.44140625" bestFit="1" customWidth="1"/>
    <col min="165" max="165" width="45.33203125" bestFit="1" customWidth="1"/>
    <col min="166" max="166" width="21" bestFit="1" customWidth="1"/>
    <col min="167" max="167" width="24" bestFit="1" customWidth="1"/>
    <col min="168" max="168" width="34.6640625" bestFit="1" customWidth="1"/>
    <col min="169" max="169" width="37.5546875" bestFit="1" customWidth="1"/>
    <col min="170" max="170" width="28" bestFit="1" customWidth="1"/>
    <col min="171" max="171" width="31" bestFit="1" customWidth="1"/>
    <col min="172" max="172" width="21" bestFit="1" customWidth="1"/>
    <col min="173" max="173" width="24" bestFit="1" customWidth="1"/>
    <col min="174" max="174" width="30.88671875" bestFit="1" customWidth="1"/>
    <col min="175" max="175" width="33.88671875" bestFit="1" customWidth="1"/>
    <col min="176" max="176" width="21" bestFit="1" customWidth="1"/>
    <col min="177" max="177" width="24" bestFit="1" customWidth="1"/>
    <col min="178" max="178" width="32.109375" bestFit="1" customWidth="1"/>
    <col min="179" max="179" width="35.109375" bestFit="1" customWidth="1"/>
    <col min="180" max="180" width="21" bestFit="1" customWidth="1"/>
    <col min="181" max="181" width="24" bestFit="1" customWidth="1"/>
    <col min="182" max="182" width="26.21875" bestFit="1" customWidth="1"/>
    <col min="183" max="183" width="29.109375" bestFit="1" customWidth="1"/>
    <col min="184" max="184" width="21.109375" bestFit="1" customWidth="1"/>
    <col min="185" max="185" width="24" bestFit="1" customWidth="1"/>
    <col min="186" max="186" width="39.88671875" bestFit="1" customWidth="1"/>
    <col min="187" max="187" width="42.88671875" bestFit="1" customWidth="1"/>
    <col min="188" max="188" width="21" bestFit="1" customWidth="1"/>
    <col min="189" max="189" width="24" bestFit="1" customWidth="1"/>
    <col min="190" max="190" width="36.77734375" bestFit="1" customWidth="1"/>
    <col min="191" max="191" width="39.77734375" bestFit="1" customWidth="1"/>
    <col min="192" max="192" width="21" bestFit="1" customWidth="1"/>
    <col min="193" max="193" width="24" bestFit="1" customWidth="1"/>
    <col min="194" max="194" width="33.109375" bestFit="1" customWidth="1"/>
    <col min="195" max="195" width="36.109375" bestFit="1" customWidth="1"/>
    <col min="196" max="196" width="23.6640625" bestFit="1" customWidth="1"/>
    <col min="197" max="197" width="24" bestFit="1" customWidth="1"/>
    <col min="198" max="198" width="42.44140625" bestFit="1" customWidth="1"/>
    <col min="199" max="199" width="45.33203125" bestFit="1" customWidth="1"/>
    <col min="200" max="200" width="21" bestFit="1" customWidth="1"/>
    <col min="201" max="201" width="24" bestFit="1" customWidth="1"/>
    <col min="202" max="202" width="34.6640625" bestFit="1" customWidth="1"/>
    <col min="203" max="203" width="37.5546875" bestFit="1" customWidth="1"/>
    <col min="204" max="204" width="28" bestFit="1" customWidth="1"/>
    <col min="205" max="205" width="31" bestFit="1" customWidth="1"/>
    <col min="206" max="206" width="21" bestFit="1" customWidth="1"/>
    <col min="207" max="207" width="24" bestFit="1" customWidth="1"/>
    <col min="208" max="208" width="30.88671875" bestFit="1" customWidth="1"/>
    <col min="209" max="209" width="33.88671875" bestFit="1" customWidth="1"/>
    <col min="210" max="210" width="21" bestFit="1" customWidth="1"/>
    <col min="211" max="211" width="24" bestFit="1" customWidth="1"/>
    <col min="212" max="212" width="32.109375" bestFit="1" customWidth="1"/>
    <col min="213" max="213" width="35.109375" bestFit="1" customWidth="1"/>
    <col min="214" max="214" width="21" bestFit="1" customWidth="1"/>
    <col min="215" max="215" width="24" bestFit="1" customWidth="1"/>
    <col min="216" max="216" width="26.21875" bestFit="1" customWidth="1"/>
    <col min="217" max="217" width="29.109375" bestFit="1" customWidth="1"/>
    <col min="218" max="218" width="21.109375" bestFit="1" customWidth="1"/>
    <col min="219" max="219" width="24" bestFit="1" customWidth="1"/>
    <col min="220" max="220" width="39.88671875" bestFit="1" customWidth="1"/>
    <col min="221" max="221" width="42.88671875" bestFit="1" customWidth="1"/>
    <col min="222" max="222" width="21" bestFit="1" customWidth="1"/>
    <col min="223" max="223" width="24" bestFit="1" customWidth="1"/>
    <col min="224" max="224" width="36.77734375" bestFit="1" customWidth="1"/>
    <col min="225" max="225" width="39.77734375" bestFit="1" customWidth="1"/>
    <col min="226" max="226" width="21" bestFit="1" customWidth="1"/>
    <col min="227" max="227" width="24" bestFit="1" customWidth="1"/>
    <col min="228" max="228" width="33.109375" bestFit="1" customWidth="1"/>
    <col min="229" max="229" width="36.109375" bestFit="1" customWidth="1"/>
    <col min="230" max="230" width="23.6640625" bestFit="1" customWidth="1"/>
    <col min="231" max="231" width="24" bestFit="1" customWidth="1"/>
    <col min="232" max="232" width="42.44140625" bestFit="1" customWidth="1"/>
    <col min="233" max="233" width="45.33203125" bestFit="1" customWidth="1"/>
    <col min="234" max="234" width="21" bestFit="1" customWidth="1"/>
    <col min="235" max="235" width="24" bestFit="1" customWidth="1"/>
    <col min="236" max="236" width="34.6640625" bestFit="1" customWidth="1"/>
    <col min="237" max="237" width="37.5546875" bestFit="1" customWidth="1"/>
    <col min="238" max="238" width="28" bestFit="1" customWidth="1"/>
    <col min="239" max="239" width="31" bestFit="1" customWidth="1"/>
    <col min="240" max="240" width="21" bestFit="1" customWidth="1"/>
    <col min="241" max="241" width="24" bestFit="1" customWidth="1"/>
    <col min="242" max="242" width="30.88671875" bestFit="1" customWidth="1"/>
    <col min="243" max="243" width="33.88671875" bestFit="1" customWidth="1"/>
    <col min="244" max="244" width="21" bestFit="1" customWidth="1"/>
    <col min="245" max="245" width="24" bestFit="1" customWidth="1"/>
    <col min="246" max="246" width="32.109375" bestFit="1" customWidth="1"/>
    <col min="247" max="247" width="35.109375" bestFit="1" customWidth="1"/>
    <col min="248" max="248" width="21" bestFit="1" customWidth="1"/>
    <col min="249" max="249" width="24" bestFit="1" customWidth="1"/>
    <col min="250" max="250" width="26.21875" bestFit="1" customWidth="1"/>
    <col min="251" max="251" width="29.109375" bestFit="1" customWidth="1"/>
    <col min="252" max="252" width="21.109375" bestFit="1" customWidth="1"/>
    <col min="253" max="253" width="24" bestFit="1" customWidth="1"/>
    <col min="254" max="254" width="39.88671875" bestFit="1" customWidth="1"/>
    <col min="255" max="255" width="42.88671875" bestFit="1" customWidth="1"/>
    <col min="256" max="256" width="21" bestFit="1" customWidth="1"/>
    <col min="257" max="257" width="24" bestFit="1" customWidth="1"/>
    <col min="258" max="258" width="36.77734375" bestFit="1" customWidth="1"/>
    <col min="259" max="259" width="39.77734375" bestFit="1" customWidth="1"/>
    <col min="260" max="260" width="21" bestFit="1" customWidth="1"/>
    <col min="261" max="261" width="24" bestFit="1" customWidth="1"/>
    <col min="262" max="262" width="33.109375" bestFit="1" customWidth="1"/>
    <col min="263" max="263" width="36.109375" bestFit="1" customWidth="1"/>
    <col min="264" max="264" width="23.6640625" bestFit="1" customWidth="1"/>
    <col min="265" max="265" width="24" bestFit="1" customWidth="1"/>
    <col min="266" max="266" width="42.44140625" bestFit="1" customWidth="1"/>
    <col min="267" max="267" width="45.33203125" bestFit="1" customWidth="1"/>
    <col min="268" max="268" width="21" bestFit="1" customWidth="1"/>
    <col min="269" max="269" width="24" bestFit="1" customWidth="1"/>
    <col min="270" max="270" width="34.6640625" bestFit="1" customWidth="1"/>
    <col min="271" max="271" width="37.5546875" bestFit="1" customWidth="1"/>
    <col min="272" max="272" width="28" bestFit="1" customWidth="1"/>
    <col min="273" max="273" width="31" bestFit="1" customWidth="1"/>
    <col min="274" max="274" width="25.88671875" bestFit="1" customWidth="1"/>
    <col min="275" max="275" width="28.77734375" bestFit="1" customWidth="1"/>
    <col min="276" max="276" width="20.77734375" bestFit="1" customWidth="1"/>
    <col min="277" max="277" width="18.109375" bestFit="1" customWidth="1"/>
    <col min="278" max="278" width="10.33203125" bestFit="1" customWidth="1"/>
    <col min="279" max="279" width="11" bestFit="1" customWidth="1"/>
    <col min="280" max="280" width="15" bestFit="1" customWidth="1"/>
    <col min="281" max="281" width="12.109375" bestFit="1" customWidth="1"/>
    <col min="282" max="282" width="13.44140625" bestFit="1" customWidth="1"/>
    <col min="283" max="283" width="11.6640625" bestFit="1" customWidth="1"/>
    <col min="284" max="284" width="14.44140625" bestFit="1" customWidth="1"/>
    <col min="285" max="285" width="13.21875" bestFit="1" customWidth="1"/>
    <col min="286" max="286" width="18.33203125" bestFit="1" customWidth="1"/>
    <col min="287" max="287" width="9.33203125" bestFit="1" customWidth="1"/>
    <col min="288" max="288" width="13.77734375" bestFit="1" customWidth="1"/>
    <col min="289" max="289" width="17.21875" bestFit="1" customWidth="1"/>
    <col min="290" max="290" width="23.6640625" bestFit="1" customWidth="1"/>
    <col min="291" max="291" width="10.33203125" bestFit="1" customWidth="1"/>
    <col min="292" max="292" width="11" bestFit="1" customWidth="1"/>
    <col min="293" max="293" width="15" bestFit="1" customWidth="1"/>
    <col min="294" max="294" width="12.109375" bestFit="1" customWidth="1"/>
    <col min="295" max="295" width="13.44140625" bestFit="1" customWidth="1"/>
    <col min="296" max="296" width="11.6640625" bestFit="1" customWidth="1"/>
    <col min="297" max="297" width="14.44140625" bestFit="1" customWidth="1"/>
    <col min="298" max="298" width="13.21875" bestFit="1" customWidth="1"/>
    <col min="299" max="299" width="18.33203125" bestFit="1" customWidth="1"/>
    <col min="300" max="300" width="9.33203125" bestFit="1" customWidth="1"/>
    <col min="301" max="301" width="13.77734375" bestFit="1" customWidth="1"/>
    <col min="302" max="302" width="26.44140625" bestFit="1" customWidth="1"/>
    <col min="303" max="303" width="18.109375" bestFit="1" customWidth="1"/>
    <col min="304" max="304" width="10.33203125" bestFit="1" customWidth="1"/>
    <col min="305" max="305" width="11" bestFit="1" customWidth="1"/>
    <col min="306" max="306" width="15" bestFit="1" customWidth="1"/>
    <col min="307" max="307" width="12.109375" bestFit="1" customWidth="1"/>
    <col min="308" max="308" width="13.44140625" bestFit="1" customWidth="1"/>
    <col min="309" max="309" width="11.6640625" bestFit="1" customWidth="1"/>
    <col min="310" max="310" width="14.44140625" bestFit="1" customWidth="1"/>
    <col min="311" max="311" width="13.21875" bestFit="1" customWidth="1"/>
    <col min="312" max="312" width="18.33203125" bestFit="1" customWidth="1"/>
    <col min="313" max="313" width="9.33203125" bestFit="1" customWidth="1"/>
    <col min="314" max="314" width="13.77734375" bestFit="1" customWidth="1"/>
    <col min="315" max="315" width="18.6640625" bestFit="1" customWidth="1"/>
    <col min="316" max="316" width="12" bestFit="1" customWidth="1"/>
    <col min="317" max="317" width="18.109375" bestFit="1" customWidth="1"/>
    <col min="318" max="318" width="10.33203125" bestFit="1" customWidth="1"/>
    <col min="319" max="319" width="11" bestFit="1" customWidth="1"/>
    <col min="320" max="320" width="15" bestFit="1" customWidth="1"/>
    <col min="321" max="321" width="12.109375" bestFit="1" customWidth="1"/>
    <col min="322" max="322" width="13.44140625" bestFit="1" customWidth="1"/>
    <col min="323" max="323" width="11.6640625" bestFit="1" customWidth="1"/>
    <col min="324" max="324" width="14.44140625" bestFit="1" customWidth="1"/>
    <col min="325" max="325" width="13.21875" bestFit="1" customWidth="1"/>
    <col min="326" max="326" width="18.33203125" bestFit="1" customWidth="1"/>
    <col min="327" max="327" width="9.33203125" bestFit="1" customWidth="1"/>
    <col min="328" max="328" width="13.77734375" bestFit="1" customWidth="1"/>
    <col min="329" max="329" width="14.88671875" bestFit="1" customWidth="1"/>
    <col min="330" max="330" width="18.109375" bestFit="1" customWidth="1"/>
    <col min="331" max="331" width="10.33203125" bestFit="1" customWidth="1"/>
    <col min="332" max="332" width="11" bestFit="1" customWidth="1"/>
    <col min="333" max="333" width="15" bestFit="1" customWidth="1"/>
    <col min="334" max="334" width="12.109375" bestFit="1" customWidth="1"/>
    <col min="335" max="335" width="13.44140625" bestFit="1" customWidth="1"/>
    <col min="336" max="336" width="11.6640625" bestFit="1" customWidth="1"/>
    <col min="337" max="337" width="14.44140625" bestFit="1" customWidth="1"/>
    <col min="338" max="338" width="13.21875" bestFit="1" customWidth="1"/>
    <col min="339" max="339" width="18.33203125" bestFit="1" customWidth="1"/>
    <col min="340" max="340" width="9.33203125" bestFit="1" customWidth="1"/>
    <col min="341" max="341" width="13.77734375" bestFit="1" customWidth="1"/>
    <col min="342" max="342" width="16.109375" bestFit="1" customWidth="1"/>
    <col min="343" max="343" width="18.109375" bestFit="1" customWidth="1"/>
    <col min="344" max="344" width="10.33203125" bestFit="1" customWidth="1"/>
    <col min="345" max="345" width="11" bestFit="1" customWidth="1"/>
    <col min="346" max="346" width="15" bestFit="1" customWidth="1"/>
    <col min="347" max="347" width="12.109375" bestFit="1" customWidth="1"/>
    <col min="348" max="348" width="13.44140625" bestFit="1" customWidth="1"/>
    <col min="349" max="349" width="11.6640625" bestFit="1" customWidth="1"/>
    <col min="350" max="350" width="14.44140625" bestFit="1" customWidth="1"/>
    <col min="351" max="351" width="13.21875" bestFit="1" customWidth="1"/>
    <col min="352" max="352" width="18.33203125" bestFit="1" customWidth="1"/>
    <col min="353" max="353" width="9.33203125" bestFit="1" customWidth="1"/>
    <col min="354" max="354" width="13.77734375" bestFit="1" customWidth="1"/>
    <col min="355" max="355" width="10.21875" bestFit="1" customWidth="1"/>
    <col min="356" max="356" width="21.21875" bestFit="1" customWidth="1"/>
    <col min="357" max="357" width="10.33203125" bestFit="1" customWidth="1"/>
    <col min="358" max="358" width="11" bestFit="1" customWidth="1"/>
    <col min="359" max="359" width="15" bestFit="1" customWidth="1"/>
    <col min="360" max="360" width="12.109375" bestFit="1" customWidth="1"/>
    <col min="361" max="361" width="13.44140625" bestFit="1" customWidth="1"/>
    <col min="362" max="362" width="11.6640625" bestFit="1" customWidth="1"/>
    <col min="363" max="363" width="14.44140625" bestFit="1" customWidth="1"/>
    <col min="364" max="364" width="13.21875" bestFit="1" customWidth="1"/>
    <col min="365" max="365" width="18.33203125" bestFit="1" customWidth="1"/>
    <col min="366" max="366" width="9.33203125" bestFit="1" customWidth="1"/>
    <col min="367" max="367" width="13.77734375" bestFit="1" customWidth="1"/>
    <col min="368" max="368" width="23.88671875" bestFit="1" customWidth="1"/>
    <col min="369" max="369" width="18.21875" bestFit="1" customWidth="1"/>
    <col min="370" max="370" width="10.33203125" bestFit="1" customWidth="1"/>
    <col min="371" max="371" width="11" bestFit="1" customWidth="1"/>
    <col min="372" max="372" width="15" bestFit="1" customWidth="1"/>
    <col min="373" max="373" width="12.109375" bestFit="1" customWidth="1"/>
    <col min="374" max="374" width="13.44140625" bestFit="1" customWidth="1"/>
    <col min="375" max="375" width="11.6640625" bestFit="1" customWidth="1"/>
    <col min="376" max="376" width="14.44140625" bestFit="1" customWidth="1"/>
    <col min="377" max="377" width="13.21875" bestFit="1" customWidth="1"/>
    <col min="378" max="378" width="18.33203125" bestFit="1" customWidth="1"/>
    <col min="379" max="379" width="9.33203125" bestFit="1" customWidth="1"/>
    <col min="380" max="380" width="13.77734375" bestFit="1" customWidth="1"/>
    <col min="381" max="381" width="20.77734375" bestFit="1" customWidth="1"/>
    <col min="382" max="382" width="18.109375" bestFit="1" customWidth="1"/>
    <col min="383" max="383" width="10.33203125" bestFit="1" customWidth="1"/>
    <col min="384" max="384" width="11" bestFit="1" customWidth="1"/>
    <col min="385" max="385" width="15" bestFit="1" customWidth="1"/>
    <col min="386" max="386" width="12.109375" bestFit="1" customWidth="1"/>
    <col min="387" max="387" width="13.44140625" bestFit="1" customWidth="1"/>
    <col min="388" max="388" width="11.6640625" bestFit="1" customWidth="1"/>
    <col min="389" max="389" width="14.44140625" bestFit="1" customWidth="1"/>
    <col min="390" max="390" width="13.21875" bestFit="1" customWidth="1"/>
    <col min="391" max="391" width="18.33203125" bestFit="1" customWidth="1"/>
    <col min="392" max="392" width="9.33203125" bestFit="1" customWidth="1"/>
    <col min="393" max="393" width="13.77734375" bestFit="1" customWidth="1"/>
    <col min="394" max="394" width="17.21875" bestFit="1" customWidth="1"/>
    <col min="395" max="395" width="23.6640625" bestFit="1" customWidth="1"/>
    <col min="396" max="396" width="10.33203125" bestFit="1" customWidth="1"/>
    <col min="397" max="397" width="11" bestFit="1" customWidth="1"/>
    <col min="398" max="398" width="15" bestFit="1" customWidth="1"/>
    <col min="399" max="399" width="12.109375" bestFit="1" customWidth="1"/>
    <col min="400" max="400" width="13.44140625" bestFit="1" customWidth="1"/>
    <col min="401" max="401" width="11.6640625" bestFit="1" customWidth="1"/>
    <col min="402" max="402" width="14.44140625" bestFit="1" customWidth="1"/>
    <col min="403" max="403" width="13.21875" bestFit="1" customWidth="1"/>
    <col min="404" max="404" width="18.33203125" bestFit="1" customWidth="1"/>
    <col min="405" max="405" width="9.33203125" bestFit="1" customWidth="1"/>
    <col min="406" max="406" width="13.77734375" bestFit="1" customWidth="1"/>
    <col min="407" max="407" width="26.44140625" bestFit="1" customWidth="1"/>
    <col min="408" max="408" width="18.109375" bestFit="1" customWidth="1"/>
    <col min="409" max="409" width="10.33203125" bestFit="1" customWidth="1"/>
    <col min="410" max="410" width="11" bestFit="1" customWidth="1"/>
    <col min="411" max="411" width="15" bestFit="1" customWidth="1"/>
    <col min="412" max="412" width="12.109375" bestFit="1" customWidth="1"/>
    <col min="413" max="413" width="13.44140625" bestFit="1" customWidth="1"/>
    <col min="414" max="414" width="11.6640625" bestFit="1" customWidth="1"/>
    <col min="415" max="415" width="14.44140625" bestFit="1" customWidth="1"/>
    <col min="416" max="416" width="13.21875" bestFit="1" customWidth="1"/>
    <col min="417" max="417" width="18.33203125" bestFit="1" customWidth="1"/>
    <col min="418" max="418" width="9.33203125" bestFit="1" customWidth="1"/>
    <col min="419" max="419" width="13.77734375" bestFit="1" customWidth="1"/>
    <col min="420" max="420" width="18.6640625" bestFit="1" customWidth="1"/>
    <col min="421" max="421" width="12" bestFit="1" customWidth="1"/>
    <col min="422" max="422" width="18.109375" bestFit="1" customWidth="1"/>
    <col min="423" max="423" width="10.33203125" bestFit="1" customWidth="1"/>
    <col min="424" max="424" width="11" bestFit="1" customWidth="1"/>
    <col min="425" max="425" width="15" bestFit="1" customWidth="1"/>
    <col min="426" max="426" width="12.109375" bestFit="1" customWidth="1"/>
    <col min="427" max="427" width="13.44140625" bestFit="1" customWidth="1"/>
    <col min="428" max="428" width="11.6640625" bestFit="1" customWidth="1"/>
    <col min="429" max="429" width="14.44140625" bestFit="1" customWidth="1"/>
    <col min="430" max="430" width="13.21875" bestFit="1" customWidth="1"/>
    <col min="431" max="431" width="18.33203125" bestFit="1" customWidth="1"/>
    <col min="432" max="432" width="9.33203125" bestFit="1" customWidth="1"/>
    <col min="433" max="433" width="13.77734375" bestFit="1" customWidth="1"/>
    <col min="434" max="434" width="14.88671875" bestFit="1" customWidth="1"/>
    <col min="435" max="435" width="18.109375" bestFit="1" customWidth="1"/>
    <col min="436" max="436" width="10.33203125" bestFit="1" customWidth="1"/>
    <col min="437" max="437" width="11" bestFit="1" customWidth="1"/>
    <col min="438" max="438" width="15" bestFit="1" customWidth="1"/>
    <col min="439" max="439" width="12.109375" bestFit="1" customWidth="1"/>
    <col min="440" max="440" width="13.44140625" bestFit="1" customWidth="1"/>
    <col min="441" max="441" width="11.6640625" bestFit="1" customWidth="1"/>
    <col min="442" max="442" width="14.44140625" bestFit="1" customWidth="1"/>
    <col min="443" max="443" width="13.21875" bestFit="1" customWidth="1"/>
    <col min="444" max="444" width="18.33203125" bestFit="1" customWidth="1"/>
    <col min="445" max="445" width="9.33203125" bestFit="1" customWidth="1"/>
    <col min="446" max="446" width="13.77734375" bestFit="1" customWidth="1"/>
    <col min="447" max="447" width="16.109375" bestFit="1" customWidth="1"/>
    <col min="448" max="448" width="18.109375" bestFit="1" customWidth="1"/>
    <col min="449" max="449" width="10.33203125" bestFit="1" customWidth="1"/>
    <col min="450" max="450" width="11" bestFit="1" customWidth="1"/>
    <col min="451" max="451" width="15" bestFit="1" customWidth="1"/>
    <col min="452" max="452" width="12.109375" bestFit="1" customWidth="1"/>
    <col min="453" max="453" width="13.44140625" bestFit="1" customWidth="1"/>
    <col min="454" max="454" width="11.6640625" bestFit="1" customWidth="1"/>
    <col min="455" max="455" width="14.44140625" bestFit="1" customWidth="1"/>
    <col min="456" max="456" width="13.21875" bestFit="1" customWidth="1"/>
    <col min="457" max="457" width="18.33203125" bestFit="1" customWidth="1"/>
    <col min="458" max="458" width="9.33203125" bestFit="1" customWidth="1"/>
    <col min="459" max="459" width="13.77734375" bestFit="1" customWidth="1"/>
    <col min="460" max="460" width="10.21875" bestFit="1" customWidth="1"/>
    <col min="461" max="461" width="21.21875" bestFit="1" customWidth="1"/>
    <col min="462" max="462" width="10.33203125" bestFit="1" customWidth="1"/>
    <col min="463" max="463" width="11" bestFit="1" customWidth="1"/>
    <col min="464" max="464" width="15" bestFit="1" customWidth="1"/>
    <col min="465" max="465" width="12.109375" bestFit="1" customWidth="1"/>
    <col min="466" max="466" width="13.44140625" bestFit="1" customWidth="1"/>
    <col min="467" max="467" width="11.6640625" bestFit="1" customWidth="1"/>
    <col min="468" max="468" width="14.44140625" bestFit="1" customWidth="1"/>
    <col min="469" max="469" width="13.21875" bestFit="1" customWidth="1"/>
    <col min="470" max="470" width="18.33203125" bestFit="1" customWidth="1"/>
    <col min="471" max="471" width="9.33203125" bestFit="1" customWidth="1"/>
    <col min="472" max="472" width="13.77734375" bestFit="1" customWidth="1"/>
    <col min="473" max="473" width="23.88671875" bestFit="1" customWidth="1"/>
    <col min="474" max="474" width="18.21875" bestFit="1" customWidth="1"/>
    <col min="475" max="475" width="10.33203125" bestFit="1" customWidth="1"/>
    <col min="476" max="476" width="11" bestFit="1" customWidth="1"/>
    <col min="477" max="477" width="15" bestFit="1" customWidth="1"/>
    <col min="478" max="478" width="12.109375" bestFit="1" customWidth="1"/>
    <col min="479" max="479" width="13.44140625" bestFit="1" customWidth="1"/>
    <col min="480" max="480" width="11.6640625" bestFit="1" customWidth="1"/>
    <col min="481" max="481" width="14.44140625" bestFit="1" customWidth="1"/>
    <col min="482" max="482" width="13.21875" bestFit="1" customWidth="1"/>
    <col min="483" max="483" width="18.33203125" bestFit="1" customWidth="1"/>
    <col min="484" max="484" width="9.33203125" bestFit="1" customWidth="1"/>
    <col min="485" max="485" width="13.77734375" bestFit="1" customWidth="1"/>
    <col min="486" max="486" width="20.77734375" bestFit="1" customWidth="1"/>
    <col min="487" max="487" width="18.109375" bestFit="1" customWidth="1"/>
    <col min="488" max="488" width="10.33203125" bestFit="1" customWidth="1"/>
    <col min="489" max="489" width="11" bestFit="1" customWidth="1"/>
    <col min="490" max="490" width="15" bestFit="1" customWidth="1"/>
    <col min="491" max="491" width="12.109375" bestFit="1" customWidth="1"/>
    <col min="492" max="492" width="13.44140625" bestFit="1" customWidth="1"/>
    <col min="493" max="493" width="11.6640625" bestFit="1" customWidth="1"/>
    <col min="494" max="494" width="14.44140625" bestFit="1" customWidth="1"/>
    <col min="495" max="495" width="13.21875" bestFit="1" customWidth="1"/>
    <col min="496" max="496" width="18.33203125" bestFit="1" customWidth="1"/>
    <col min="497" max="497" width="9.33203125" bestFit="1" customWidth="1"/>
    <col min="498" max="498" width="13.77734375" bestFit="1" customWidth="1"/>
    <col min="499" max="499" width="17.21875" bestFit="1" customWidth="1"/>
    <col min="500" max="500" width="23.6640625" bestFit="1" customWidth="1"/>
    <col min="501" max="501" width="10.33203125" bestFit="1" customWidth="1"/>
    <col min="502" max="502" width="11" bestFit="1" customWidth="1"/>
    <col min="503" max="503" width="15" bestFit="1" customWidth="1"/>
    <col min="504" max="504" width="12.109375" bestFit="1" customWidth="1"/>
    <col min="505" max="505" width="13.44140625" bestFit="1" customWidth="1"/>
    <col min="506" max="506" width="11.6640625" bestFit="1" customWidth="1"/>
    <col min="507" max="507" width="14.44140625" bestFit="1" customWidth="1"/>
    <col min="508" max="508" width="13.21875" bestFit="1" customWidth="1"/>
    <col min="509" max="509" width="18.33203125" bestFit="1" customWidth="1"/>
    <col min="510" max="510" width="9.33203125" bestFit="1" customWidth="1"/>
    <col min="511" max="511" width="13.77734375" bestFit="1" customWidth="1"/>
    <col min="512" max="512" width="26.44140625" bestFit="1" customWidth="1"/>
    <col min="513" max="513" width="18.109375" bestFit="1" customWidth="1"/>
    <col min="514" max="514" width="10.33203125" bestFit="1" customWidth="1"/>
    <col min="515" max="515" width="11" bestFit="1" customWidth="1"/>
    <col min="516" max="516" width="15" bestFit="1" customWidth="1"/>
    <col min="517" max="517" width="12.109375" bestFit="1" customWidth="1"/>
    <col min="518" max="518" width="13.44140625" bestFit="1" customWidth="1"/>
    <col min="519" max="519" width="11.6640625" bestFit="1" customWidth="1"/>
    <col min="520" max="520" width="14.44140625" bestFit="1" customWidth="1"/>
    <col min="521" max="521" width="13.21875" bestFit="1" customWidth="1"/>
    <col min="522" max="522" width="18.33203125" bestFit="1" customWidth="1"/>
    <col min="523" max="523" width="9.33203125" bestFit="1" customWidth="1"/>
    <col min="524" max="524" width="13.77734375" bestFit="1" customWidth="1"/>
    <col min="525" max="525" width="18.6640625" bestFit="1" customWidth="1"/>
    <col min="526" max="526" width="12" bestFit="1" customWidth="1"/>
    <col min="527" max="527" width="18.109375" bestFit="1" customWidth="1"/>
    <col min="528" max="528" width="10.33203125" bestFit="1" customWidth="1"/>
    <col min="529" max="529" width="11" bestFit="1" customWidth="1"/>
    <col min="530" max="530" width="15" bestFit="1" customWidth="1"/>
    <col min="531" max="531" width="12.109375" bestFit="1" customWidth="1"/>
    <col min="532" max="532" width="13.44140625" bestFit="1" customWidth="1"/>
    <col min="533" max="533" width="11.6640625" bestFit="1" customWidth="1"/>
    <col min="534" max="534" width="14.44140625" bestFit="1" customWidth="1"/>
    <col min="535" max="535" width="13.21875" bestFit="1" customWidth="1"/>
    <col min="536" max="536" width="18.33203125" bestFit="1" customWidth="1"/>
    <col min="537" max="537" width="9.33203125" bestFit="1" customWidth="1"/>
    <col min="538" max="538" width="13.77734375" bestFit="1" customWidth="1"/>
    <col min="539" max="539" width="14.88671875" bestFit="1" customWidth="1"/>
    <col min="540" max="540" width="18.109375" bestFit="1" customWidth="1"/>
    <col min="541" max="541" width="10.33203125" bestFit="1" customWidth="1"/>
    <col min="542" max="542" width="11" bestFit="1" customWidth="1"/>
    <col min="543" max="543" width="15" bestFit="1" customWidth="1"/>
    <col min="544" max="544" width="12.109375" bestFit="1" customWidth="1"/>
    <col min="545" max="545" width="13.44140625" bestFit="1" customWidth="1"/>
    <col min="546" max="546" width="11.6640625" bestFit="1" customWidth="1"/>
    <col min="547" max="547" width="14.44140625" bestFit="1" customWidth="1"/>
    <col min="548" max="548" width="13.21875" bestFit="1" customWidth="1"/>
    <col min="549" max="549" width="18.33203125" bestFit="1" customWidth="1"/>
    <col min="550" max="550" width="9.33203125" bestFit="1" customWidth="1"/>
    <col min="551" max="551" width="13.77734375" bestFit="1" customWidth="1"/>
    <col min="552" max="552" width="16.109375" bestFit="1" customWidth="1"/>
    <col min="553" max="553" width="18.109375" bestFit="1" customWidth="1"/>
    <col min="554" max="554" width="10.33203125" bestFit="1" customWidth="1"/>
    <col min="555" max="555" width="11" bestFit="1" customWidth="1"/>
    <col min="556" max="556" width="15" bestFit="1" customWidth="1"/>
    <col min="557" max="557" width="12.109375" bestFit="1" customWidth="1"/>
    <col min="558" max="558" width="13.44140625" bestFit="1" customWidth="1"/>
    <col min="559" max="559" width="11.6640625" bestFit="1" customWidth="1"/>
    <col min="560" max="560" width="14.44140625" bestFit="1" customWidth="1"/>
    <col min="561" max="561" width="13.21875" bestFit="1" customWidth="1"/>
    <col min="562" max="562" width="18.33203125" bestFit="1" customWidth="1"/>
    <col min="563" max="563" width="9.33203125" bestFit="1" customWidth="1"/>
    <col min="564" max="564" width="13.77734375" bestFit="1" customWidth="1"/>
    <col min="565" max="565" width="10.21875" bestFit="1" customWidth="1"/>
    <col min="566" max="566" width="21.21875" bestFit="1" customWidth="1"/>
    <col min="567" max="567" width="10.33203125" bestFit="1" customWidth="1"/>
    <col min="568" max="568" width="11" bestFit="1" customWidth="1"/>
    <col min="569" max="569" width="15" bestFit="1" customWidth="1"/>
    <col min="570" max="570" width="12.109375" bestFit="1" customWidth="1"/>
    <col min="571" max="571" width="13.44140625" bestFit="1" customWidth="1"/>
    <col min="572" max="572" width="11.6640625" bestFit="1" customWidth="1"/>
    <col min="573" max="573" width="14.44140625" bestFit="1" customWidth="1"/>
    <col min="574" max="574" width="13.21875" bestFit="1" customWidth="1"/>
    <col min="575" max="575" width="18.33203125" bestFit="1" customWidth="1"/>
    <col min="576" max="576" width="9.33203125" bestFit="1" customWidth="1"/>
    <col min="577" max="577" width="13.77734375" bestFit="1" customWidth="1"/>
    <col min="578" max="578" width="23.88671875" bestFit="1" customWidth="1"/>
    <col min="579" max="579" width="18.21875" bestFit="1" customWidth="1"/>
    <col min="580" max="580" width="10.33203125" bestFit="1" customWidth="1"/>
    <col min="581" max="581" width="11" bestFit="1" customWidth="1"/>
    <col min="582" max="582" width="15" bestFit="1" customWidth="1"/>
    <col min="583" max="583" width="12.109375" bestFit="1" customWidth="1"/>
    <col min="584" max="584" width="13.44140625" bestFit="1" customWidth="1"/>
    <col min="585" max="585" width="11.6640625" bestFit="1" customWidth="1"/>
    <col min="586" max="586" width="14.44140625" bestFit="1" customWidth="1"/>
    <col min="587" max="587" width="13.21875" bestFit="1" customWidth="1"/>
    <col min="588" max="588" width="18.33203125" bestFit="1" customWidth="1"/>
    <col min="589" max="589" width="9.33203125" bestFit="1" customWidth="1"/>
    <col min="590" max="590" width="13.77734375" bestFit="1" customWidth="1"/>
    <col min="591" max="591" width="20.77734375" bestFit="1" customWidth="1"/>
    <col min="592" max="592" width="18.109375" bestFit="1" customWidth="1"/>
    <col min="593" max="593" width="10.33203125" bestFit="1" customWidth="1"/>
    <col min="594" max="594" width="11" bestFit="1" customWidth="1"/>
    <col min="595" max="595" width="15" bestFit="1" customWidth="1"/>
    <col min="596" max="596" width="12.109375" bestFit="1" customWidth="1"/>
    <col min="597" max="597" width="13.44140625" bestFit="1" customWidth="1"/>
    <col min="598" max="598" width="11.6640625" bestFit="1" customWidth="1"/>
    <col min="599" max="599" width="14.44140625" bestFit="1" customWidth="1"/>
    <col min="600" max="600" width="13.21875" bestFit="1" customWidth="1"/>
    <col min="601" max="601" width="18.33203125" bestFit="1" customWidth="1"/>
    <col min="602" max="602" width="9.33203125" bestFit="1" customWidth="1"/>
    <col min="603" max="603" width="13.77734375" bestFit="1" customWidth="1"/>
    <col min="604" max="604" width="17.21875" bestFit="1" customWidth="1"/>
    <col min="605" max="605" width="23.6640625" bestFit="1" customWidth="1"/>
    <col min="606" max="606" width="10.33203125" bestFit="1" customWidth="1"/>
    <col min="607" max="607" width="11" bestFit="1" customWidth="1"/>
    <col min="608" max="608" width="15" bestFit="1" customWidth="1"/>
    <col min="609" max="609" width="12.109375" bestFit="1" customWidth="1"/>
    <col min="610" max="610" width="13.44140625" bestFit="1" customWidth="1"/>
    <col min="611" max="611" width="11.6640625" bestFit="1" customWidth="1"/>
    <col min="612" max="612" width="14.44140625" bestFit="1" customWidth="1"/>
    <col min="613" max="613" width="13.21875" bestFit="1" customWidth="1"/>
    <col min="614" max="614" width="18.33203125" bestFit="1" customWidth="1"/>
    <col min="615" max="615" width="9.33203125" bestFit="1" customWidth="1"/>
    <col min="616" max="616" width="13.77734375" bestFit="1" customWidth="1"/>
    <col min="617" max="617" width="26.44140625" bestFit="1" customWidth="1"/>
    <col min="618" max="618" width="18.109375" bestFit="1" customWidth="1"/>
    <col min="619" max="619" width="10.33203125" bestFit="1" customWidth="1"/>
    <col min="620" max="620" width="11" bestFit="1" customWidth="1"/>
    <col min="621" max="621" width="15" bestFit="1" customWidth="1"/>
    <col min="622" max="622" width="12.109375" bestFit="1" customWidth="1"/>
    <col min="623" max="623" width="13.44140625" bestFit="1" customWidth="1"/>
    <col min="624" max="624" width="11.6640625" bestFit="1" customWidth="1"/>
    <col min="625" max="625" width="14.44140625" bestFit="1" customWidth="1"/>
    <col min="626" max="626" width="13.21875" bestFit="1" customWidth="1"/>
    <col min="627" max="627" width="18.33203125" bestFit="1" customWidth="1"/>
    <col min="628" max="628" width="9.33203125" bestFit="1" customWidth="1"/>
    <col min="629" max="629" width="13.77734375" bestFit="1" customWidth="1"/>
    <col min="630" max="630" width="18.6640625" bestFit="1" customWidth="1"/>
    <col min="631" max="631" width="12" bestFit="1" customWidth="1"/>
    <col min="632" max="632" width="18.109375" bestFit="1" customWidth="1"/>
    <col min="633" max="633" width="10.33203125" bestFit="1" customWidth="1"/>
    <col min="634" max="634" width="11" bestFit="1" customWidth="1"/>
    <col min="635" max="635" width="15" bestFit="1" customWidth="1"/>
    <col min="636" max="636" width="12.109375" bestFit="1" customWidth="1"/>
    <col min="637" max="637" width="13.44140625" bestFit="1" customWidth="1"/>
    <col min="638" max="638" width="11.6640625" bestFit="1" customWidth="1"/>
    <col min="639" max="639" width="14.44140625" bestFit="1" customWidth="1"/>
    <col min="640" max="640" width="13.21875" bestFit="1" customWidth="1"/>
    <col min="641" max="641" width="18.33203125" bestFit="1" customWidth="1"/>
    <col min="642" max="642" width="9.33203125" bestFit="1" customWidth="1"/>
    <col min="643" max="643" width="13.77734375" bestFit="1" customWidth="1"/>
    <col min="644" max="644" width="14.88671875" bestFit="1" customWidth="1"/>
    <col min="645" max="645" width="18.109375" bestFit="1" customWidth="1"/>
    <col min="646" max="646" width="10.33203125" bestFit="1" customWidth="1"/>
    <col min="647" max="647" width="11" bestFit="1" customWidth="1"/>
    <col min="648" max="648" width="15" bestFit="1" customWidth="1"/>
    <col min="649" max="649" width="12.109375" bestFit="1" customWidth="1"/>
    <col min="650" max="650" width="13.44140625" bestFit="1" customWidth="1"/>
    <col min="651" max="651" width="11.6640625" bestFit="1" customWidth="1"/>
    <col min="652" max="652" width="14.44140625" bestFit="1" customWidth="1"/>
    <col min="653" max="653" width="13.21875" bestFit="1" customWidth="1"/>
    <col min="654" max="654" width="18.33203125" bestFit="1" customWidth="1"/>
    <col min="655" max="655" width="9.33203125" bestFit="1" customWidth="1"/>
    <col min="656" max="656" width="13.77734375" bestFit="1" customWidth="1"/>
    <col min="657" max="657" width="16.109375" bestFit="1" customWidth="1"/>
    <col min="658" max="658" width="18.109375" bestFit="1" customWidth="1"/>
    <col min="659" max="659" width="10.33203125" bestFit="1" customWidth="1"/>
    <col min="660" max="660" width="11" bestFit="1" customWidth="1"/>
    <col min="661" max="661" width="15" bestFit="1" customWidth="1"/>
    <col min="662" max="662" width="12.109375" bestFit="1" customWidth="1"/>
    <col min="663" max="663" width="13.44140625" bestFit="1" customWidth="1"/>
    <col min="664" max="664" width="11.6640625" bestFit="1" customWidth="1"/>
    <col min="665" max="665" width="14.44140625" bestFit="1" customWidth="1"/>
    <col min="666" max="666" width="13.21875" bestFit="1" customWidth="1"/>
    <col min="667" max="667" width="18.33203125" bestFit="1" customWidth="1"/>
    <col min="668" max="668" width="9.33203125" bestFit="1" customWidth="1"/>
    <col min="669" max="669" width="13.77734375" bestFit="1" customWidth="1"/>
    <col min="670" max="670" width="10.21875" bestFit="1" customWidth="1"/>
    <col min="671" max="671" width="21.21875" bestFit="1" customWidth="1"/>
    <col min="672" max="672" width="10.33203125" bestFit="1" customWidth="1"/>
    <col min="673" max="673" width="11" bestFit="1" customWidth="1"/>
    <col min="674" max="674" width="15" bestFit="1" customWidth="1"/>
    <col min="675" max="675" width="12.109375" bestFit="1" customWidth="1"/>
    <col min="676" max="676" width="13.44140625" bestFit="1" customWidth="1"/>
    <col min="677" max="677" width="11.6640625" bestFit="1" customWidth="1"/>
    <col min="678" max="678" width="14.44140625" bestFit="1" customWidth="1"/>
    <col min="679" max="679" width="13.21875" bestFit="1" customWidth="1"/>
    <col min="680" max="680" width="18.33203125" bestFit="1" customWidth="1"/>
    <col min="681" max="681" width="9.33203125" bestFit="1" customWidth="1"/>
    <col min="682" max="682" width="13.77734375" bestFit="1" customWidth="1"/>
    <col min="683" max="683" width="23.88671875" bestFit="1" customWidth="1"/>
    <col min="684" max="684" width="18.21875" bestFit="1" customWidth="1"/>
    <col min="685" max="685" width="10.33203125" bestFit="1" customWidth="1"/>
    <col min="686" max="686" width="11" bestFit="1" customWidth="1"/>
    <col min="687" max="687" width="15" bestFit="1" customWidth="1"/>
    <col min="688" max="688" width="12.109375" bestFit="1" customWidth="1"/>
    <col min="689" max="689" width="13.44140625" bestFit="1" customWidth="1"/>
    <col min="690" max="690" width="11.6640625" bestFit="1" customWidth="1"/>
    <col min="691" max="691" width="14.44140625" bestFit="1" customWidth="1"/>
    <col min="692" max="692" width="13.21875" bestFit="1" customWidth="1"/>
    <col min="693" max="693" width="18.33203125" bestFit="1" customWidth="1"/>
    <col min="694" max="694" width="9.33203125" bestFit="1" customWidth="1"/>
    <col min="695" max="695" width="13.77734375" bestFit="1" customWidth="1"/>
    <col min="696" max="696" width="20.77734375" bestFit="1" customWidth="1"/>
    <col min="697" max="697" width="18.109375" bestFit="1" customWidth="1"/>
    <col min="698" max="698" width="10.33203125" bestFit="1" customWidth="1"/>
    <col min="699" max="699" width="11" bestFit="1" customWidth="1"/>
    <col min="700" max="700" width="15" bestFit="1" customWidth="1"/>
    <col min="701" max="701" width="12.109375" bestFit="1" customWidth="1"/>
    <col min="702" max="702" width="13.44140625" bestFit="1" customWidth="1"/>
    <col min="703" max="703" width="11.6640625" bestFit="1" customWidth="1"/>
    <col min="704" max="704" width="14.44140625" bestFit="1" customWidth="1"/>
    <col min="705" max="705" width="13.21875" bestFit="1" customWidth="1"/>
    <col min="706" max="706" width="18.33203125" bestFit="1" customWidth="1"/>
    <col min="707" max="707" width="9.33203125" bestFit="1" customWidth="1"/>
    <col min="708" max="708" width="13.77734375" bestFit="1" customWidth="1"/>
    <col min="709" max="709" width="17.21875" bestFit="1" customWidth="1"/>
    <col min="710" max="710" width="23.6640625" bestFit="1" customWidth="1"/>
    <col min="711" max="711" width="10.33203125" bestFit="1" customWidth="1"/>
    <col min="712" max="712" width="11" bestFit="1" customWidth="1"/>
    <col min="713" max="713" width="15" bestFit="1" customWidth="1"/>
    <col min="714" max="714" width="12.109375" bestFit="1" customWidth="1"/>
    <col min="715" max="715" width="13.44140625" bestFit="1" customWidth="1"/>
    <col min="716" max="716" width="11.6640625" bestFit="1" customWidth="1"/>
    <col min="717" max="717" width="14.44140625" bestFit="1" customWidth="1"/>
    <col min="718" max="718" width="13.21875" bestFit="1" customWidth="1"/>
    <col min="719" max="719" width="18.33203125" bestFit="1" customWidth="1"/>
    <col min="720" max="720" width="9.33203125" bestFit="1" customWidth="1"/>
    <col min="721" max="721" width="13.77734375" bestFit="1" customWidth="1"/>
    <col min="722" max="722" width="26.44140625" bestFit="1" customWidth="1"/>
    <col min="723" max="723" width="18.109375" bestFit="1" customWidth="1"/>
    <col min="724" max="724" width="10.33203125" bestFit="1" customWidth="1"/>
    <col min="725" max="725" width="11" bestFit="1" customWidth="1"/>
    <col min="726" max="726" width="15" bestFit="1" customWidth="1"/>
    <col min="727" max="727" width="12.109375" bestFit="1" customWidth="1"/>
    <col min="728" max="728" width="13.44140625" bestFit="1" customWidth="1"/>
    <col min="729" max="729" width="11.6640625" bestFit="1" customWidth="1"/>
    <col min="730" max="730" width="14.44140625" bestFit="1" customWidth="1"/>
    <col min="731" max="731" width="13.21875" bestFit="1" customWidth="1"/>
    <col min="732" max="732" width="18.33203125" bestFit="1" customWidth="1"/>
    <col min="733" max="733" width="9.33203125" bestFit="1" customWidth="1"/>
    <col min="734" max="734" width="13.77734375" bestFit="1" customWidth="1"/>
    <col min="735" max="735" width="18.6640625" bestFit="1" customWidth="1"/>
    <col min="736" max="736" width="12" bestFit="1" customWidth="1"/>
    <col min="737" max="737" width="18.109375" bestFit="1" customWidth="1"/>
    <col min="738" max="738" width="10.33203125" bestFit="1" customWidth="1"/>
    <col min="739" max="739" width="11" bestFit="1" customWidth="1"/>
    <col min="740" max="740" width="15" bestFit="1" customWidth="1"/>
    <col min="741" max="741" width="12.109375" bestFit="1" customWidth="1"/>
    <col min="742" max="742" width="13.44140625" bestFit="1" customWidth="1"/>
    <col min="743" max="743" width="11.6640625" bestFit="1" customWidth="1"/>
    <col min="744" max="744" width="14.44140625" bestFit="1" customWidth="1"/>
    <col min="745" max="745" width="13.21875" bestFit="1" customWidth="1"/>
    <col min="746" max="746" width="18.33203125" bestFit="1" customWidth="1"/>
    <col min="747" max="747" width="9.33203125" bestFit="1" customWidth="1"/>
    <col min="748" max="748" width="13.77734375" bestFit="1" customWidth="1"/>
    <col min="749" max="749" width="14.88671875" bestFit="1" customWidth="1"/>
    <col min="750" max="750" width="18.109375" bestFit="1" customWidth="1"/>
    <col min="751" max="751" width="10.33203125" bestFit="1" customWidth="1"/>
    <col min="752" max="752" width="11" bestFit="1" customWidth="1"/>
    <col min="753" max="753" width="15" bestFit="1" customWidth="1"/>
    <col min="754" max="754" width="12.109375" bestFit="1" customWidth="1"/>
    <col min="755" max="755" width="13.44140625" bestFit="1" customWidth="1"/>
    <col min="756" max="756" width="11.6640625" bestFit="1" customWidth="1"/>
    <col min="757" max="757" width="14.44140625" bestFit="1" customWidth="1"/>
    <col min="758" max="758" width="13.21875" bestFit="1" customWidth="1"/>
    <col min="759" max="759" width="18.33203125" bestFit="1" customWidth="1"/>
    <col min="760" max="760" width="9.33203125" bestFit="1" customWidth="1"/>
    <col min="761" max="761" width="13.77734375" bestFit="1" customWidth="1"/>
    <col min="762" max="762" width="16.109375" bestFit="1" customWidth="1"/>
    <col min="763" max="763" width="18.109375" bestFit="1" customWidth="1"/>
    <col min="764" max="764" width="10.33203125" bestFit="1" customWidth="1"/>
    <col min="765" max="765" width="11" bestFit="1" customWidth="1"/>
    <col min="766" max="766" width="15" bestFit="1" customWidth="1"/>
    <col min="767" max="767" width="12.109375" bestFit="1" customWidth="1"/>
    <col min="768" max="768" width="13.44140625" bestFit="1" customWidth="1"/>
    <col min="769" max="769" width="11.6640625" bestFit="1" customWidth="1"/>
    <col min="770" max="770" width="14.44140625" bestFit="1" customWidth="1"/>
    <col min="771" max="771" width="13.21875" bestFit="1" customWidth="1"/>
    <col min="772" max="772" width="18.33203125" bestFit="1" customWidth="1"/>
    <col min="773" max="773" width="9.33203125" bestFit="1" customWidth="1"/>
    <col min="774" max="774" width="13.77734375" bestFit="1" customWidth="1"/>
    <col min="775" max="775" width="10.21875" bestFit="1" customWidth="1"/>
    <col min="776" max="776" width="21.21875" bestFit="1" customWidth="1"/>
    <col min="777" max="777" width="10.33203125" bestFit="1" customWidth="1"/>
    <col min="778" max="778" width="11" bestFit="1" customWidth="1"/>
    <col min="779" max="779" width="15" bestFit="1" customWidth="1"/>
    <col min="780" max="780" width="12.109375" bestFit="1" customWidth="1"/>
    <col min="781" max="781" width="13.44140625" bestFit="1" customWidth="1"/>
    <col min="782" max="782" width="11.6640625" bestFit="1" customWidth="1"/>
    <col min="783" max="783" width="14.44140625" bestFit="1" customWidth="1"/>
    <col min="784" max="784" width="13.21875" bestFit="1" customWidth="1"/>
    <col min="785" max="785" width="18.33203125" bestFit="1" customWidth="1"/>
    <col min="786" max="786" width="9.33203125" bestFit="1" customWidth="1"/>
    <col min="787" max="787" width="13.77734375" bestFit="1" customWidth="1"/>
    <col min="788" max="788" width="23.88671875" bestFit="1" customWidth="1"/>
    <col min="789" max="789" width="18.21875" bestFit="1" customWidth="1"/>
    <col min="790" max="790" width="10.33203125" bestFit="1" customWidth="1"/>
    <col min="791" max="791" width="11" bestFit="1" customWidth="1"/>
    <col min="792" max="792" width="15" bestFit="1" customWidth="1"/>
    <col min="793" max="793" width="12.109375" bestFit="1" customWidth="1"/>
    <col min="794" max="794" width="13.44140625" bestFit="1" customWidth="1"/>
    <col min="795" max="795" width="11.6640625" bestFit="1" customWidth="1"/>
    <col min="796" max="796" width="14.44140625" bestFit="1" customWidth="1"/>
    <col min="797" max="797" width="13.21875" bestFit="1" customWidth="1"/>
    <col min="798" max="798" width="18.33203125" bestFit="1" customWidth="1"/>
    <col min="799" max="799" width="9.33203125" bestFit="1" customWidth="1"/>
    <col min="800" max="800" width="13.77734375" bestFit="1" customWidth="1"/>
    <col min="801" max="801" width="20.77734375" bestFit="1" customWidth="1"/>
    <col min="802" max="802" width="18.109375" bestFit="1" customWidth="1"/>
    <col min="803" max="803" width="10.33203125" bestFit="1" customWidth="1"/>
    <col min="804" max="804" width="11" bestFit="1" customWidth="1"/>
    <col min="805" max="805" width="15" bestFit="1" customWidth="1"/>
    <col min="806" max="806" width="12.109375" bestFit="1" customWidth="1"/>
    <col min="807" max="807" width="13.44140625" bestFit="1" customWidth="1"/>
    <col min="808" max="808" width="11.6640625" bestFit="1" customWidth="1"/>
    <col min="809" max="809" width="14.44140625" bestFit="1" customWidth="1"/>
    <col min="810" max="810" width="13.21875" bestFit="1" customWidth="1"/>
    <col min="811" max="811" width="18.33203125" bestFit="1" customWidth="1"/>
    <col min="812" max="812" width="9.33203125" bestFit="1" customWidth="1"/>
    <col min="813" max="813" width="13.77734375" bestFit="1" customWidth="1"/>
    <col min="814" max="814" width="17.21875" bestFit="1" customWidth="1"/>
    <col min="815" max="815" width="23.6640625" bestFit="1" customWidth="1"/>
    <col min="816" max="816" width="10.33203125" bestFit="1" customWidth="1"/>
    <col min="817" max="817" width="11" bestFit="1" customWidth="1"/>
    <col min="818" max="818" width="15" bestFit="1" customWidth="1"/>
    <col min="819" max="819" width="12.109375" bestFit="1" customWidth="1"/>
    <col min="820" max="820" width="13.44140625" bestFit="1" customWidth="1"/>
    <col min="821" max="821" width="11.6640625" bestFit="1" customWidth="1"/>
    <col min="822" max="822" width="14.44140625" bestFit="1" customWidth="1"/>
    <col min="823" max="823" width="13.21875" bestFit="1" customWidth="1"/>
    <col min="824" max="824" width="18.33203125" bestFit="1" customWidth="1"/>
    <col min="825" max="825" width="9.33203125" bestFit="1" customWidth="1"/>
    <col min="826" max="826" width="13.77734375" bestFit="1" customWidth="1"/>
    <col min="827" max="827" width="26.44140625" bestFit="1" customWidth="1"/>
    <col min="828" max="828" width="18.109375" bestFit="1" customWidth="1"/>
    <col min="829" max="829" width="10.33203125" bestFit="1" customWidth="1"/>
    <col min="830" max="830" width="11" bestFit="1" customWidth="1"/>
    <col min="831" max="831" width="15" bestFit="1" customWidth="1"/>
    <col min="832" max="832" width="12.109375" bestFit="1" customWidth="1"/>
    <col min="833" max="833" width="13.44140625" bestFit="1" customWidth="1"/>
    <col min="834" max="834" width="11.6640625" bestFit="1" customWidth="1"/>
    <col min="835" max="835" width="14.44140625" bestFit="1" customWidth="1"/>
    <col min="836" max="836" width="13.21875" bestFit="1" customWidth="1"/>
    <col min="837" max="837" width="18.33203125" bestFit="1" customWidth="1"/>
    <col min="838" max="838" width="9.33203125" bestFit="1" customWidth="1"/>
    <col min="839" max="839" width="13.77734375" bestFit="1" customWidth="1"/>
    <col min="840" max="840" width="18.6640625" bestFit="1" customWidth="1"/>
    <col min="841" max="841" width="12" bestFit="1" customWidth="1"/>
    <col min="842" max="842" width="10.77734375" bestFit="1" customWidth="1"/>
    <col min="843" max="843" width="10.6640625" bestFit="1" customWidth="1"/>
    <col min="844" max="844" width="11.88671875" bestFit="1" customWidth="1"/>
    <col min="845" max="845" width="5.77734375" bestFit="1" customWidth="1"/>
    <col min="846" max="846" width="20.33203125" bestFit="1" customWidth="1"/>
    <col min="847" max="847" width="17" bestFit="1" customWidth="1"/>
    <col min="848" max="848" width="13.21875" bestFit="1" customWidth="1"/>
    <col min="849" max="849" width="22.88671875" bestFit="1" customWidth="1"/>
    <col min="850" max="850" width="14.88671875" bestFit="1" customWidth="1"/>
    <col min="851" max="851" width="12.5546875" bestFit="1" customWidth="1"/>
    <col min="852" max="852" width="10.6640625" bestFit="1" customWidth="1"/>
    <col min="853" max="853" width="11.88671875" bestFit="1" customWidth="1"/>
    <col min="854" max="854" width="5.77734375" bestFit="1" customWidth="1"/>
    <col min="855" max="855" width="20.33203125" bestFit="1" customWidth="1"/>
    <col min="856" max="856" width="17" bestFit="1" customWidth="1"/>
    <col min="857" max="857" width="13.21875" bestFit="1" customWidth="1"/>
    <col min="858" max="858" width="22.88671875" bestFit="1" customWidth="1"/>
    <col min="859" max="859" width="14.88671875" bestFit="1" customWidth="1"/>
    <col min="860" max="860" width="12.5546875" bestFit="1" customWidth="1"/>
    <col min="861" max="861" width="15.44140625" bestFit="1" customWidth="1"/>
    <col min="862" max="862" width="14" bestFit="1" customWidth="1"/>
    <col min="863" max="863" width="11.88671875" bestFit="1" customWidth="1"/>
    <col min="864" max="864" width="5.77734375" bestFit="1" customWidth="1"/>
    <col min="865" max="865" width="20.33203125" bestFit="1" customWidth="1"/>
    <col min="866" max="866" width="17" bestFit="1" customWidth="1"/>
    <col min="867" max="867" width="13.21875" bestFit="1" customWidth="1"/>
    <col min="868" max="868" width="22.88671875" bestFit="1" customWidth="1"/>
    <col min="869" max="869" width="14.88671875" bestFit="1" customWidth="1"/>
    <col min="870" max="870" width="12.5546875" bestFit="1" customWidth="1"/>
    <col min="871" max="871" width="10.6640625" bestFit="1" customWidth="1"/>
    <col min="872" max="872" width="11.88671875" bestFit="1" customWidth="1"/>
    <col min="873" max="873" width="5.77734375" bestFit="1" customWidth="1"/>
    <col min="874" max="874" width="20.33203125" bestFit="1" customWidth="1"/>
    <col min="875" max="875" width="17" bestFit="1" customWidth="1"/>
    <col min="876" max="876" width="13.21875" bestFit="1" customWidth="1"/>
    <col min="877" max="877" width="22.88671875" bestFit="1" customWidth="1"/>
    <col min="878" max="878" width="14.88671875" bestFit="1" customWidth="1"/>
    <col min="879" max="879" width="12.5546875" bestFit="1" customWidth="1"/>
    <col min="880" max="880" width="10.6640625" bestFit="1" customWidth="1"/>
    <col min="881" max="881" width="11.88671875" bestFit="1" customWidth="1"/>
    <col min="882" max="882" width="5.77734375" bestFit="1" customWidth="1"/>
    <col min="883" max="883" width="20.33203125" bestFit="1" customWidth="1"/>
    <col min="884" max="884" width="17" bestFit="1" customWidth="1"/>
    <col min="885" max="885" width="13.21875" bestFit="1" customWidth="1"/>
    <col min="886" max="886" width="22.88671875" bestFit="1" customWidth="1"/>
    <col min="887" max="887" width="14.88671875" bestFit="1" customWidth="1"/>
    <col min="888" max="888" width="12.5546875" bestFit="1" customWidth="1"/>
    <col min="889" max="889" width="10.6640625" bestFit="1" customWidth="1"/>
    <col min="890" max="890" width="11.88671875" bestFit="1" customWidth="1"/>
    <col min="891" max="891" width="5.77734375" bestFit="1" customWidth="1"/>
    <col min="892" max="892" width="20.33203125" bestFit="1" customWidth="1"/>
    <col min="893" max="893" width="17" bestFit="1" customWidth="1"/>
    <col min="894" max="894" width="13.21875" bestFit="1" customWidth="1"/>
    <col min="895" max="895" width="22.88671875" bestFit="1" customWidth="1"/>
    <col min="896" max="896" width="14.88671875" bestFit="1" customWidth="1"/>
    <col min="897" max="897" width="12.5546875" bestFit="1" customWidth="1"/>
    <col min="898" max="898" width="10.6640625" bestFit="1" customWidth="1"/>
    <col min="899" max="899" width="11.88671875" bestFit="1" customWidth="1"/>
    <col min="900" max="900" width="5.77734375" bestFit="1" customWidth="1"/>
    <col min="901" max="901" width="20.33203125" bestFit="1" customWidth="1"/>
    <col min="902" max="902" width="17" bestFit="1" customWidth="1"/>
    <col min="903" max="903" width="13.21875" bestFit="1" customWidth="1"/>
    <col min="904" max="904" width="22.88671875" bestFit="1" customWidth="1"/>
    <col min="905" max="905" width="14.88671875" bestFit="1" customWidth="1"/>
    <col min="906" max="906" width="12.5546875" bestFit="1" customWidth="1"/>
    <col min="907" max="907" width="10.6640625" bestFit="1" customWidth="1"/>
    <col min="908" max="908" width="11.88671875" bestFit="1" customWidth="1"/>
    <col min="909" max="909" width="5.77734375" bestFit="1" customWidth="1"/>
    <col min="910" max="910" width="20.33203125" bestFit="1" customWidth="1"/>
    <col min="911" max="911" width="17" bestFit="1" customWidth="1"/>
    <col min="912" max="912" width="13.21875" bestFit="1" customWidth="1"/>
    <col min="913" max="913" width="22.88671875" bestFit="1" customWidth="1"/>
    <col min="914" max="914" width="14.88671875" bestFit="1" customWidth="1"/>
    <col min="915" max="915" width="12.5546875" bestFit="1" customWidth="1"/>
    <col min="916" max="916" width="10.6640625" bestFit="1" customWidth="1"/>
    <col min="917" max="917" width="11.88671875" bestFit="1" customWidth="1"/>
    <col min="918" max="918" width="5.77734375" bestFit="1" customWidth="1"/>
    <col min="919" max="919" width="20.33203125" bestFit="1" customWidth="1"/>
    <col min="920" max="920" width="17" bestFit="1" customWidth="1"/>
    <col min="921" max="921" width="13.21875" bestFit="1" customWidth="1"/>
    <col min="922" max="922" width="22.88671875" bestFit="1" customWidth="1"/>
    <col min="923" max="923" width="14.88671875" bestFit="1" customWidth="1"/>
    <col min="924" max="924" width="12.5546875" bestFit="1" customWidth="1"/>
    <col min="925" max="925" width="10.6640625" bestFit="1" customWidth="1"/>
    <col min="926" max="926" width="11.88671875" bestFit="1" customWidth="1"/>
    <col min="927" max="927" width="5.77734375" bestFit="1" customWidth="1"/>
    <col min="928" max="928" width="20.33203125" bestFit="1" customWidth="1"/>
    <col min="929" max="929" width="17" bestFit="1" customWidth="1"/>
    <col min="930" max="930" width="13.21875" bestFit="1" customWidth="1"/>
    <col min="931" max="931" width="22.88671875" bestFit="1" customWidth="1"/>
    <col min="932" max="932" width="14.88671875" bestFit="1" customWidth="1"/>
    <col min="933" max="933" width="12.5546875" bestFit="1" customWidth="1"/>
    <col min="934" max="934" width="17.6640625" bestFit="1" customWidth="1"/>
    <col min="935" max="935" width="14.44140625" bestFit="1" customWidth="1"/>
    <col min="936" max="936" width="10.88671875" bestFit="1" customWidth="1"/>
    <col min="937" max="937" width="11.88671875" bestFit="1" customWidth="1"/>
    <col min="938" max="938" width="5.77734375" bestFit="1" customWidth="1"/>
    <col min="939" max="939" width="20.33203125" bestFit="1" customWidth="1"/>
    <col min="940" max="940" width="17" bestFit="1" customWidth="1"/>
    <col min="941" max="941" width="13.21875" bestFit="1" customWidth="1"/>
    <col min="942" max="942" width="22.88671875" bestFit="1" customWidth="1"/>
    <col min="943" max="943" width="14.88671875" bestFit="1" customWidth="1"/>
    <col min="944" max="944" width="12.5546875" bestFit="1" customWidth="1"/>
    <col min="945" max="945" width="10.6640625" bestFit="1" customWidth="1"/>
    <col min="946" max="946" width="11.88671875" bestFit="1" customWidth="1"/>
    <col min="947" max="947" width="5.77734375" bestFit="1" customWidth="1"/>
    <col min="948" max="948" width="20.33203125" bestFit="1" customWidth="1"/>
    <col min="949" max="949" width="17" bestFit="1" customWidth="1"/>
    <col min="950" max="950" width="13.21875" bestFit="1" customWidth="1"/>
    <col min="951" max="951" width="22.88671875" bestFit="1" customWidth="1"/>
    <col min="952" max="952" width="14.88671875" bestFit="1" customWidth="1"/>
    <col min="953" max="953" width="12.5546875" bestFit="1" customWidth="1"/>
    <col min="954" max="954" width="10.6640625" bestFit="1" customWidth="1"/>
    <col min="955" max="955" width="11.88671875" bestFit="1" customWidth="1"/>
    <col min="956" max="956" width="5.77734375" bestFit="1" customWidth="1"/>
    <col min="957" max="957" width="20.33203125" bestFit="1" customWidth="1"/>
    <col min="958" max="958" width="17" bestFit="1" customWidth="1"/>
    <col min="959" max="959" width="13.21875" bestFit="1" customWidth="1"/>
    <col min="960" max="960" width="22.88671875" bestFit="1" customWidth="1"/>
    <col min="961" max="961" width="14.88671875" bestFit="1" customWidth="1"/>
    <col min="962" max="962" width="12.5546875" bestFit="1" customWidth="1"/>
    <col min="963" max="963" width="10.6640625" bestFit="1" customWidth="1"/>
    <col min="964" max="964" width="11.88671875" bestFit="1" customWidth="1"/>
    <col min="965" max="965" width="5.77734375" bestFit="1" customWidth="1"/>
    <col min="966" max="966" width="20.33203125" bestFit="1" customWidth="1"/>
    <col min="967" max="967" width="17" bestFit="1" customWidth="1"/>
    <col min="968" max="968" width="13.21875" bestFit="1" customWidth="1"/>
    <col min="969" max="969" width="22.88671875" bestFit="1" customWidth="1"/>
    <col min="970" max="970" width="14.88671875" bestFit="1" customWidth="1"/>
    <col min="971" max="971" width="12.5546875" bestFit="1" customWidth="1"/>
    <col min="972" max="972" width="10.6640625" bestFit="1" customWidth="1"/>
    <col min="973" max="973" width="11.88671875" bestFit="1" customWidth="1"/>
    <col min="974" max="974" width="5.77734375" bestFit="1" customWidth="1"/>
    <col min="975" max="975" width="20.33203125" bestFit="1" customWidth="1"/>
    <col min="976" max="976" width="17" bestFit="1" customWidth="1"/>
    <col min="977" max="977" width="13.21875" bestFit="1" customWidth="1"/>
    <col min="978" max="978" width="22.88671875" bestFit="1" customWidth="1"/>
    <col min="979" max="979" width="14.88671875" bestFit="1" customWidth="1"/>
    <col min="980" max="980" width="12.5546875" bestFit="1" customWidth="1"/>
    <col min="981" max="981" width="10.6640625" bestFit="1" customWidth="1"/>
    <col min="982" max="982" width="11.88671875" bestFit="1" customWidth="1"/>
    <col min="983" max="983" width="5.77734375" bestFit="1" customWidth="1"/>
    <col min="984" max="984" width="20.33203125" bestFit="1" customWidth="1"/>
    <col min="985" max="985" width="17" bestFit="1" customWidth="1"/>
    <col min="986" max="986" width="13.21875" bestFit="1" customWidth="1"/>
    <col min="987" max="987" width="22.88671875" bestFit="1" customWidth="1"/>
    <col min="988" max="988" width="14.88671875" bestFit="1" customWidth="1"/>
    <col min="989" max="989" width="12.5546875" bestFit="1" customWidth="1"/>
    <col min="990" max="990" width="10.6640625" bestFit="1" customWidth="1"/>
    <col min="991" max="991" width="11.88671875" bestFit="1" customWidth="1"/>
    <col min="992" max="992" width="5.77734375" bestFit="1" customWidth="1"/>
    <col min="993" max="993" width="20.33203125" bestFit="1" customWidth="1"/>
    <col min="994" max="994" width="17" bestFit="1" customWidth="1"/>
    <col min="995" max="995" width="13.21875" bestFit="1" customWidth="1"/>
    <col min="996" max="996" width="22.88671875" bestFit="1" customWidth="1"/>
    <col min="997" max="997" width="14.88671875" bestFit="1" customWidth="1"/>
    <col min="998" max="998" width="12.5546875" bestFit="1" customWidth="1"/>
    <col min="999" max="999" width="10.6640625" bestFit="1" customWidth="1"/>
    <col min="1000" max="1000" width="11.88671875" bestFit="1" customWidth="1"/>
    <col min="1001" max="1001" width="5.77734375" bestFit="1" customWidth="1"/>
    <col min="1002" max="1002" width="20.33203125" bestFit="1" customWidth="1"/>
    <col min="1003" max="1003" width="17" bestFit="1" customWidth="1"/>
    <col min="1004" max="1004" width="13.21875" bestFit="1" customWidth="1"/>
    <col min="1005" max="1005" width="22.88671875" bestFit="1" customWidth="1"/>
    <col min="1006" max="1006" width="14.88671875" bestFit="1" customWidth="1"/>
    <col min="1007" max="1007" width="12.5546875" bestFit="1" customWidth="1"/>
    <col min="1008" max="1008" width="10.77734375" bestFit="1" customWidth="1"/>
    <col min="1009" max="1009" width="11.77734375" bestFit="1" customWidth="1"/>
    <col min="1010" max="1010" width="11.88671875" bestFit="1" customWidth="1"/>
    <col min="1011" max="1011" width="5.77734375" bestFit="1" customWidth="1"/>
    <col min="1012" max="1012" width="20.33203125" bestFit="1" customWidth="1"/>
    <col min="1013" max="1013" width="17" bestFit="1" customWidth="1"/>
    <col min="1014" max="1014" width="13.21875" bestFit="1" customWidth="1"/>
    <col min="1015" max="1015" width="22.88671875" bestFit="1" customWidth="1"/>
    <col min="1016" max="1016" width="14.88671875" bestFit="1" customWidth="1"/>
    <col min="1017" max="1017" width="12.5546875" bestFit="1" customWidth="1"/>
    <col min="1018" max="1018" width="10.6640625" bestFit="1" customWidth="1"/>
    <col min="1019" max="1019" width="11.88671875" bestFit="1" customWidth="1"/>
    <col min="1020" max="1020" width="5.77734375" bestFit="1" customWidth="1"/>
    <col min="1021" max="1021" width="20.33203125" bestFit="1" customWidth="1"/>
    <col min="1022" max="1022" width="17" bestFit="1" customWidth="1"/>
    <col min="1023" max="1023" width="13.21875" bestFit="1" customWidth="1"/>
    <col min="1024" max="1024" width="22.88671875" bestFit="1" customWidth="1"/>
    <col min="1025" max="1025" width="14.88671875" bestFit="1" customWidth="1"/>
    <col min="1026" max="1026" width="12.5546875" bestFit="1" customWidth="1"/>
    <col min="1027" max="1027" width="10.6640625" bestFit="1" customWidth="1"/>
    <col min="1028" max="1028" width="11.88671875" bestFit="1" customWidth="1"/>
    <col min="1029" max="1029" width="5.77734375" bestFit="1" customWidth="1"/>
    <col min="1030" max="1030" width="20.33203125" bestFit="1" customWidth="1"/>
    <col min="1031" max="1031" width="17" bestFit="1" customWidth="1"/>
    <col min="1032" max="1032" width="13.21875" bestFit="1" customWidth="1"/>
    <col min="1033" max="1033" width="22.88671875" bestFit="1" customWidth="1"/>
    <col min="1034" max="1034" width="14.88671875" bestFit="1" customWidth="1"/>
    <col min="1035" max="1035" width="12.5546875" bestFit="1" customWidth="1"/>
    <col min="1036" max="1036" width="10.6640625" bestFit="1" customWidth="1"/>
    <col min="1037" max="1037" width="11.88671875" bestFit="1" customWidth="1"/>
    <col min="1038" max="1038" width="5.77734375" bestFit="1" customWidth="1"/>
    <col min="1039" max="1039" width="20.33203125" bestFit="1" customWidth="1"/>
    <col min="1040" max="1040" width="17" bestFit="1" customWidth="1"/>
    <col min="1041" max="1041" width="13.21875" bestFit="1" customWidth="1"/>
    <col min="1042" max="1042" width="22.88671875" bestFit="1" customWidth="1"/>
    <col min="1043" max="1043" width="14.88671875" bestFit="1" customWidth="1"/>
    <col min="1044" max="1044" width="12.5546875" bestFit="1" customWidth="1"/>
    <col min="1045" max="1045" width="10.6640625" bestFit="1" customWidth="1"/>
    <col min="1046" max="1046" width="11.88671875" bestFit="1" customWidth="1"/>
    <col min="1047" max="1047" width="5.77734375" bestFit="1" customWidth="1"/>
    <col min="1048" max="1048" width="20.33203125" bestFit="1" customWidth="1"/>
    <col min="1049" max="1049" width="17" bestFit="1" customWidth="1"/>
    <col min="1050" max="1050" width="13.21875" bestFit="1" customWidth="1"/>
    <col min="1051" max="1051" width="22.88671875" bestFit="1" customWidth="1"/>
    <col min="1052" max="1052" width="14.88671875" bestFit="1" customWidth="1"/>
    <col min="1053" max="1053" width="12.5546875" bestFit="1" customWidth="1"/>
    <col min="1054" max="1054" width="10.6640625" bestFit="1" customWidth="1"/>
    <col min="1055" max="1055" width="11.88671875" bestFit="1" customWidth="1"/>
    <col min="1056" max="1056" width="5.77734375" bestFit="1" customWidth="1"/>
    <col min="1057" max="1057" width="20.33203125" bestFit="1" customWidth="1"/>
    <col min="1058" max="1058" width="17" bestFit="1" customWidth="1"/>
    <col min="1059" max="1059" width="13.21875" bestFit="1" customWidth="1"/>
    <col min="1060" max="1060" width="22.88671875" bestFit="1" customWidth="1"/>
    <col min="1061" max="1061" width="14.88671875" bestFit="1" customWidth="1"/>
    <col min="1062" max="1062" width="12.5546875" bestFit="1" customWidth="1"/>
    <col min="1063" max="1063" width="10.6640625" bestFit="1" customWidth="1"/>
    <col min="1064" max="1064" width="11.88671875" bestFit="1" customWidth="1"/>
    <col min="1065" max="1065" width="5.77734375" bestFit="1" customWidth="1"/>
    <col min="1066" max="1066" width="20.33203125" bestFit="1" customWidth="1"/>
    <col min="1067" max="1067" width="17" bestFit="1" customWidth="1"/>
    <col min="1068" max="1068" width="13.21875" bestFit="1" customWidth="1"/>
    <col min="1069" max="1069" width="22.88671875" bestFit="1" customWidth="1"/>
    <col min="1070" max="1070" width="14.88671875" bestFit="1" customWidth="1"/>
    <col min="1071" max="1071" width="12.5546875" bestFit="1" customWidth="1"/>
    <col min="1072" max="1072" width="10.6640625" bestFit="1" customWidth="1"/>
    <col min="1073" max="1073" width="11.88671875" bestFit="1" customWidth="1"/>
    <col min="1074" max="1074" width="5.77734375" bestFit="1" customWidth="1"/>
    <col min="1075" max="1075" width="20.33203125" bestFit="1" customWidth="1"/>
    <col min="1076" max="1076" width="17" bestFit="1" customWidth="1"/>
    <col min="1077" max="1077" width="13.21875" bestFit="1" customWidth="1"/>
    <col min="1078" max="1078" width="22.88671875" bestFit="1" customWidth="1"/>
    <col min="1079" max="1079" width="14.88671875" bestFit="1" customWidth="1"/>
    <col min="1080" max="1080" width="12.5546875" bestFit="1" customWidth="1"/>
    <col min="1081" max="1081" width="15.44140625" bestFit="1" customWidth="1"/>
    <col min="1082" max="1082" width="14" bestFit="1" customWidth="1"/>
    <col min="1083" max="1083" width="11.88671875" bestFit="1" customWidth="1"/>
    <col min="1084" max="1084" width="5.77734375" bestFit="1" customWidth="1"/>
    <col min="1085" max="1085" width="20.33203125" bestFit="1" customWidth="1"/>
    <col min="1086" max="1086" width="17" bestFit="1" customWidth="1"/>
    <col min="1087" max="1087" width="13.21875" bestFit="1" customWidth="1"/>
    <col min="1088" max="1088" width="22.88671875" bestFit="1" customWidth="1"/>
    <col min="1089" max="1089" width="14.88671875" bestFit="1" customWidth="1"/>
    <col min="1090" max="1090" width="12.5546875" bestFit="1" customWidth="1"/>
    <col min="1091" max="1091" width="10.6640625" bestFit="1" customWidth="1"/>
    <col min="1092" max="1092" width="11.88671875" bestFit="1" customWidth="1"/>
    <col min="1093" max="1093" width="5.77734375" bestFit="1" customWidth="1"/>
    <col min="1094" max="1094" width="20.33203125" bestFit="1" customWidth="1"/>
    <col min="1095" max="1095" width="17" bestFit="1" customWidth="1"/>
    <col min="1096" max="1096" width="13.21875" bestFit="1" customWidth="1"/>
    <col min="1097" max="1097" width="22.88671875" bestFit="1" customWidth="1"/>
    <col min="1098" max="1098" width="14.88671875" bestFit="1" customWidth="1"/>
    <col min="1099" max="1099" width="12.5546875" bestFit="1" customWidth="1"/>
    <col min="1100" max="1100" width="10.6640625" bestFit="1" customWidth="1"/>
    <col min="1101" max="1101" width="11.88671875" bestFit="1" customWidth="1"/>
    <col min="1102" max="1102" width="5.77734375" bestFit="1" customWidth="1"/>
    <col min="1103" max="1103" width="20.33203125" bestFit="1" customWidth="1"/>
    <col min="1104" max="1104" width="17" bestFit="1" customWidth="1"/>
    <col min="1105" max="1105" width="13.21875" bestFit="1" customWidth="1"/>
    <col min="1106" max="1106" width="22.88671875" bestFit="1" customWidth="1"/>
    <col min="1107" max="1107" width="14.88671875" bestFit="1" customWidth="1"/>
    <col min="1108" max="1108" width="12.5546875" bestFit="1" customWidth="1"/>
    <col min="1109" max="1109" width="10.6640625" bestFit="1" customWidth="1"/>
    <col min="1110" max="1110" width="11.88671875" bestFit="1" customWidth="1"/>
    <col min="1111" max="1111" width="5.77734375" bestFit="1" customWidth="1"/>
    <col min="1112" max="1112" width="20.33203125" bestFit="1" customWidth="1"/>
    <col min="1113" max="1113" width="17" bestFit="1" customWidth="1"/>
    <col min="1114" max="1114" width="13.21875" bestFit="1" customWidth="1"/>
    <col min="1115" max="1115" width="22.88671875" bestFit="1" customWidth="1"/>
    <col min="1116" max="1116" width="14.88671875" bestFit="1" customWidth="1"/>
    <col min="1117" max="1117" width="12.5546875" bestFit="1" customWidth="1"/>
    <col min="1118" max="1118" width="10.6640625" bestFit="1" customWidth="1"/>
    <col min="1119" max="1119" width="11.88671875" bestFit="1" customWidth="1"/>
    <col min="1120" max="1120" width="5.77734375" bestFit="1" customWidth="1"/>
    <col min="1121" max="1121" width="20.33203125" bestFit="1" customWidth="1"/>
    <col min="1122" max="1122" width="17" bestFit="1" customWidth="1"/>
    <col min="1123" max="1123" width="13.21875" bestFit="1" customWidth="1"/>
    <col min="1124" max="1124" width="22.88671875" bestFit="1" customWidth="1"/>
    <col min="1125" max="1125" width="14.88671875" bestFit="1" customWidth="1"/>
    <col min="1126" max="1126" width="12.5546875" bestFit="1" customWidth="1"/>
    <col min="1127" max="1127" width="10.6640625" bestFit="1" customWidth="1"/>
    <col min="1128" max="1128" width="11.88671875" bestFit="1" customWidth="1"/>
    <col min="1129" max="1129" width="5.77734375" bestFit="1" customWidth="1"/>
    <col min="1130" max="1130" width="20.33203125" bestFit="1" customWidth="1"/>
    <col min="1131" max="1131" width="17" bestFit="1" customWidth="1"/>
    <col min="1132" max="1132" width="13.21875" bestFit="1" customWidth="1"/>
    <col min="1133" max="1133" width="22.88671875" bestFit="1" customWidth="1"/>
    <col min="1134" max="1134" width="14.88671875" bestFit="1" customWidth="1"/>
    <col min="1135" max="1135" width="12.5546875" bestFit="1" customWidth="1"/>
    <col min="1136" max="1136" width="10.6640625" bestFit="1" customWidth="1"/>
    <col min="1137" max="1137" width="11.88671875" bestFit="1" customWidth="1"/>
    <col min="1138" max="1138" width="5.77734375" bestFit="1" customWidth="1"/>
    <col min="1139" max="1139" width="20.33203125" bestFit="1" customWidth="1"/>
    <col min="1140" max="1140" width="17" bestFit="1" customWidth="1"/>
    <col min="1141" max="1141" width="13.21875" bestFit="1" customWidth="1"/>
    <col min="1142" max="1142" width="22.88671875" bestFit="1" customWidth="1"/>
    <col min="1143" max="1143" width="14.88671875" bestFit="1" customWidth="1"/>
    <col min="1144" max="1144" width="12.5546875" bestFit="1" customWidth="1"/>
    <col min="1145" max="1145" width="10.6640625" bestFit="1" customWidth="1"/>
    <col min="1146" max="1146" width="11.88671875" bestFit="1" customWidth="1"/>
    <col min="1147" max="1147" width="5.77734375" bestFit="1" customWidth="1"/>
    <col min="1148" max="1148" width="20.33203125" bestFit="1" customWidth="1"/>
    <col min="1149" max="1149" width="17" bestFit="1" customWidth="1"/>
    <col min="1150" max="1150" width="13.21875" bestFit="1" customWidth="1"/>
    <col min="1151" max="1151" width="22.88671875" bestFit="1" customWidth="1"/>
    <col min="1152" max="1152" width="14.88671875" bestFit="1" customWidth="1"/>
    <col min="1153" max="1153" width="12.5546875" bestFit="1" customWidth="1"/>
    <col min="1154" max="1154" width="17.6640625" bestFit="1" customWidth="1"/>
    <col min="1155" max="1155" width="14.44140625" bestFit="1" customWidth="1"/>
    <col min="1156" max="1156" width="10.88671875" bestFit="1" customWidth="1"/>
    <col min="1157" max="1157" width="11.88671875" bestFit="1" customWidth="1"/>
    <col min="1158" max="1158" width="5.77734375" bestFit="1" customWidth="1"/>
    <col min="1159" max="1159" width="20.33203125" bestFit="1" customWidth="1"/>
    <col min="1160" max="1160" width="17" bestFit="1" customWidth="1"/>
    <col min="1161" max="1161" width="13.21875" bestFit="1" customWidth="1"/>
    <col min="1162" max="1162" width="22.88671875" bestFit="1" customWidth="1"/>
    <col min="1163" max="1163" width="14.88671875" bestFit="1" customWidth="1"/>
    <col min="1164" max="1164" width="12.5546875" bestFit="1" customWidth="1"/>
    <col min="1165" max="1165" width="10.6640625" bestFit="1" customWidth="1"/>
    <col min="1166" max="1166" width="11.88671875" bestFit="1" customWidth="1"/>
    <col min="1167" max="1167" width="5.77734375" bestFit="1" customWidth="1"/>
    <col min="1168" max="1168" width="20.33203125" bestFit="1" customWidth="1"/>
    <col min="1169" max="1169" width="17" bestFit="1" customWidth="1"/>
    <col min="1170" max="1170" width="13.21875" bestFit="1" customWidth="1"/>
    <col min="1171" max="1171" width="22.88671875" bestFit="1" customWidth="1"/>
    <col min="1172" max="1172" width="14.88671875" bestFit="1" customWidth="1"/>
    <col min="1173" max="1173" width="12.5546875" bestFit="1" customWidth="1"/>
    <col min="1174" max="1174" width="10.6640625" bestFit="1" customWidth="1"/>
    <col min="1175" max="1175" width="11.88671875" bestFit="1" customWidth="1"/>
    <col min="1176" max="1176" width="5.77734375" bestFit="1" customWidth="1"/>
    <col min="1177" max="1177" width="20.33203125" bestFit="1" customWidth="1"/>
    <col min="1178" max="1178" width="17" bestFit="1" customWidth="1"/>
    <col min="1179" max="1179" width="13.21875" bestFit="1" customWidth="1"/>
    <col min="1180" max="1180" width="22.88671875" bestFit="1" customWidth="1"/>
    <col min="1181" max="1181" width="14.88671875" bestFit="1" customWidth="1"/>
    <col min="1182" max="1182" width="12.5546875" bestFit="1" customWidth="1"/>
    <col min="1183" max="1183" width="10.6640625" bestFit="1" customWidth="1"/>
    <col min="1184" max="1184" width="11.88671875" bestFit="1" customWidth="1"/>
    <col min="1185" max="1185" width="5.77734375" bestFit="1" customWidth="1"/>
    <col min="1186" max="1186" width="20.33203125" bestFit="1" customWidth="1"/>
    <col min="1187" max="1187" width="17" bestFit="1" customWidth="1"/>
    <col min="1188" max="1188" width="13.21875" bestFit="1" customWidth="1"/>
    <col min="1189" max="1189" width="22.88671875" bestFit="1" customWidth="1"/>
    <col min="1190" max="1190" width="14.88671875" bestFit="1" customWidth="1"/>
    <col min="1191" max="1191" width="12.5546875" bestFit="1" customWidth="1"/>
    <col min="1192" max="1192" width="10.6640625" bestFit="1" customWidth="1"/>
    <col min="1193" max="1193" width="11.88671875" bestFit="1" customWidth="1"/>
    <col min="1194" max="1194" width="5.77734375" bestFit="1" customWidth="1"/>
    <col min="1195" max="1195" width="20.33203125" bestFit="1" customWidth="1"/>
    <col min="1196" max="1196" width="17" bestFit="1" customWidth="1"/>
    <col min="1197" max="1197" width="13.21875" bestFit="1" customWidth="1"/>
    <col min="1198" max="1198" width="22.88671875" bestFit="1" customWidth="1"/>
    <col min="1199" max="1199" width="14.88671875" bestFit="1" customWidth="1"/>
    <col min="1200" max="1200" width="12.5546875" bestFit="1" customWidth="1"/>
    <col min="1201" max="1201" width="10.6640625" bestFit="1" customWidth="1"/>
    <col min="1202" max="1202" width="11.88671875" bestFit="1" customWidth="1"/>
    <col min="1203" max="1203" width="5.77734375" bestFit="1" customWidth="1"/>
    <col min="1204" max="1204" width="20.33203125" bestFit="1" customWidth="1"/>
    <col min="1205" max="1205" width="17" bestFit="1" customWidth="1"/>
    <col min="1206" max="1206" width="13.21875" bestFit="1" customWidth="1"/>
    <col min="1207" max="1207" width="22.88671875" bestFit="1" customWidth="1"/>
    <col min="1208" max="1208" width="14.88671875" bestFit="1" customWidth="1"/>
    <col min="1209" max="1209" width="12.5546875" bestFit="1" customWidth="1"/>
    <col min="1210" max="1210" width="10.6640625" bestFit="1" customWidth="1"/>
    <col min="1211" max="1211" width="11.88671875" bestFit="1" customWidth="1"/>
    <col min="1212" max="1212" width="5.77734375" bestFit="1" customWidth="1"/>
    <col min="1213" max="1213" width="20.33203125" bestFit="1" customWidth="1"/>
    <col min="1214" max="1214" width="17" bestFit="1" customWidth="1"/>
    <col min="1215" max="1215" width="13.21875" bestFit="1" customWidth="1"/>
    <col min="1216" max="1216" width="22.88671875" bestFit="1" customWidth="1"/>
    <col min="1217" max="1217" width="14.88671875" bestFit="1" customWidth="1"/>
    <col min="1218" max="1218" width="12.5546875" bestFit="1" customWidth="1"/>
    <col min="1219" max="1219" width="10.6640625" bestFit="1" customWidth="1"/>
    <col min="1220" max="1220" width="11.88671875" bestFit="1" customWidth="1"/>
    <col min="1221" max="1221" width="5.77734375" bestFit="1" customWidth="1"/>
    <col min="1222" max="1222" width="20.33203125" bestFit="1" customWidth="1"/>
    <col min="1223" max="1223" width="17" bestFit="1" customWidth="1"/>
    <col min="1224" max="1224" width="13.21875" bestFit="1" customWidth="1"/>
    <col min="1225" max="1225" width="22.88671875" bestFit="1" customWidth="1"/>
    <col min="1226" max="1226" width="14.88671875" bestFit="1" customWidth="1"/>
    <col min="1227" max="1227" width="12.5546875" bestFit="1" customWidth="1"/>
    <col min="1228" max="1228" width="10.77734375" bestFit="1" customWidth="1"/>
    <col min="1229" max="1229" width="11.77734375" bestFit="1" customWidth="1"/>
    <col min="1230" max="1230" width="11.88671875" bestFit="1" customWidth="1"/>
    <col min="1231" max="1231" width="5.77734375" bestFit="1" customWidth="1"/>
    <col min="1232" max="1232" width="20.33203125" bestFit="1" customWidth="1"/>
    <col min="1233" max="1233" width="17" bestFit="1" customWidth="1"/>
    <col min="1234" max="1234" width="13.21875" bestFit="1" customWidth="1"/>
    <col min="1235" max="1235" width="22.88671875" bestFit="1" customWidth="1"/>
    <col min="1236" max="1236" width="14.88671875" bestFit="1" customWidth="1"/>
    <col min="1237" max="1237" width="12.5546875" bestFit="1" customWidth="1"/>
    <col min="1238" max="1238" width="10.6640625" bestFit="1" customWidth="1"/>
    <col min="1239" max="1239" width="11.88671875" bestFit="1" customWidth="1"/>
    <col min="1240" max="1240" width="5.77734375" bestFit="1" customWidth="1"/>
    <col min="1241" max="1241" width="20.33203125" bestFit="1" customWidth="1"/>
    <col min="1242" max="1242" width="17" bestFit="1" customWidth="1"/>
    <col min="1243" max="1243" width="13.21875" bestFit="1" customWidth="1"/>
    <col min="1244" max="1244" width="22.88671875" bestFit="1" customWidth="1"/>
    <col min="1245" max="1245" width="14.88671875" bestFit="1" customWidth="1"/>
    <col min="1246" max="1246" width="12.5546875" bestFit="1" customWidth="1"/>
    <col min="1247" max="1247" width="10.6640625" bestFit="1" customWidth="1"/>
    <col min="1248" max="1248" width="11.88671875" bestFit="1" customWidth="1"/>
    <col min="1249" max="1249" width="5.77734375" bestFit="1" customWidth="1"/>
    <col min="1250" max="1250" width="20.33203125" bestFit="1" customWidth="1"/>
    <col min="1251" max="1251" width="17" bestFit="1" customWidth="1"/>
    <col min="1252" max="1252" width="13.21875" bestFit="1" customWidth="1"/>
    <col min="1253" max="1253" width="22.88671875" bestFit="1" customWidth="1"/>
    <col min="1254" max="1254" width="14.88671875" bestFit="1" customWidth="1"/>
    <col min="1255" max="1255" width="12.5546875" bestFit="1" customWidth="1"/>
    <col min="1256" max="1256" width="10.6640625" bestFit="1" customWidth="1"/>
    <col min="1257" max="1257" width="11.88671875" bestFit="1" customWidth="1"/>
    <col min="1258" max="1258" width="5.77734375" bestFit="1" customWidth="1"/>
    <col min="1259" max="1259" width="20.33203125" bestFit="1" customWidth="1"/>
    <col min="1260" max="1260" width="17" bestFit="1" customWidth="1"/>
    <col min="1261" max="1261" width="13.21875" bestFit="1" customWidth="1"/>
    <col min="1262" max="1262" width="22.88671875" bestFit="1" customWidth="1"/>
    <col min="1263" max="1263" width="14.88671875" bestFit="1" customWidth="1"/>
    <col min="1264" max="1264" width="12.5546875" bestFit="1" customWidth="1"/>
    <col min="1265" max="1265" width="10.6640625" bestFit="1" customWidth="1"/>
    <col min="1266" max="1266" width="11.88671875" bestFit="1" customWidth="1"/>
    <col min="1267" max="1267" width="5.77734375" bestFit="1" customWidth="1"/>
    <col min="1268" max="1268" width="20.33203125" bestFit="1" customWidth="1"/>
    <col min="1269" max="1269" width="17" bestFit="1" customWidth="1"/>
    <col min="1270" max="1270" width="13.21875" bestFit="1" customWidth="1"/>
    <col min="1271" max="1271" width="22.88671875" bestFit="1" customWidth="1"/>
    <col min="1272" max="1272" width="14.88671875" bestFit="1" customWidth="1"/>
    <col min="1273" max="1273" width="12.5546875" bestFit="1" customWidth="1"/>
    <col min="1274" max="1274" width="10.6640625" bestFit="1" customWidth="1"/>
    <col min="1275" max="1275" width="11.88671875" bestFit="1" customWidth="1"/>
    <col min="1276" max="1276" width="5.77734375" bestFit="1" customWidth="1"/>
    <col min="1277" max="1277" width="20.33203125" bestFit="1" customWidth="1"/>
    <col min="1278" max="1278" width="17" bestFit="1" customWidth="1"/>
    <col min="1279" max="1279" width="13.21875" bestFit="1" customWidth="1"/>
    <col min="1280" max="1280" width="22.88671875" bestFit="1" customWidth="1"/>
    <col min="1281" max="1281" width="14.88671875" bestFit="1" customWidth="1"/>
    <col min="1282" max="1282" width="12.5546875" bestFit="1" customWidth="1"/>
    <col min="1283" max="1283" width="10.6640625" bestFit="1" customWidth="1"/>
    <col min="1284" max="1284" width="11.88671875" bestFit="1" customWidth="1"/>
    <col min="1285" max="1285" width="5.77734375" bestFit="1" customWidth="1"/>
    <col min="1286" max="1286" width="20.33203125" bestFit="1" customWidth="1"/>
    <col min="1287" max="1287" width="17" bestFit="1" customWidth="1"/>
    <col min="1288" max="1288" width="13.21875" bestFit="1" customWidth="1"/>
    <col min="1289" max="1289" width="22.88671875" bestFit="1" customWidth="1"/>
    <col min="1290" max="1290" width="14.88671875" bestFit="1" customWidth="1"/>
    <col min="1291" max="1291" width="12.5546875" bestFit="1" customWidth="1"/>
    <col min="1292" max="1292" width="10.6640625" bestFit="1" customWidth="1"/>
    <col min="1293" max="1293" width="11.88671875" bestFit="1" customWidth="1"/>
    <col min="1294" max="1294" width="5.77734375" bestFit="1" customWidth="1"/>
    <col min="1295" max="1295" width="20.33203125" bestFit="1" customWidth="1"/>
    <col min="1296" max="1296" width="17" bestFit="1" customWidth="1"/>
    <col min="1297" max="1297" width="13.21875" bestFit="1" customWidth="1"/>
    <col min="1298" max="1298" width="22.88671875" bestFit="1" customWidth="1"/>
    <col min="1299" max="1299" width="14.88671875" bestFit="1" customWidth="1"/>
    <col min="1300" max="1300" width="12.5546875" bestFit="1" customWidth="1"/>
    <col min="1301" max="1301" width="15.44140625" bestFit="1" customWidth="1"/>
    <col min="1302" max="1302" width="14" bestFit="1" customWidth="1"/>
    <col min="1303" max="1303" width="11.88671875" bestFit="1" customWidth="1"/>
    <col min="1304" max="1304" width="5.77734375" bestFit="1" customWidth="1"/>
    <col min="1305" max="1305" width="20.33203125" bestFit="1" customWidth="1"/>
    <col min="1306" max="1306" width="17" bestFit="1" customWidth="1"/>
    <col min="1307" max="1307" width="13.21875" bestFit="1" customWidth="1"/>
    <col min="1308" max="1308" width="22.88671875" bestFit="1" customWidth="1"/>
    <col min="1309" max="1309" width="14.88671875" bestFit="1" customWidth="1"/>
    <col min="1310" max="1310" width="12.5546875" bestFit="1" customWidth="1"/>
    <col min="1311" max="1311" width="10.6640625" bestFit="1" customWidth="1"/>
    <col min="1312" max="1312" width="11.88671875" bestFit="1" customWidth="1"/>
    <col min="1313" max="1313" width="5.77734375" bestFit="1" customWidth="1"/>
    <col min="1314" max="1314" width="20.33203125" bestFit="1" customWidth="1"/>
    <col min="1315" max="1315" width="17" bestFit="1" customWidth="1"/>
    <col min="1316" max="1316" width="13.21875" bestFit="1" customWidth="1"/>
    <col min="1317" max="1317" width="22.88671875" bestFit="1" customWidth="1"/>
    <col min="1318" max="1318" width="14.88671875" bestFit="1" customWidth="1"/>
    <col min="1319" max="1319" width="12.5546875" bestFit="1" customWidth="1"/>
    <col min="1320" max="1320" width="10.6640625" bestFit="1" customWidth="1"/>
    <col min="1321" max="1321" width="11.88671875" bestFit="1" customWidth="1"/>
    <col min="1322" max="1322" width="5.77734375" bestFit="1" customWidth="1"/>
    <col min="1323" max="1323" width="20.33203125" bestFit="1" customWidth="1"/>
    <col min="1324" max="1324" width="17" bestFit="1" customWidth="1"/>
    <col min="1325" max="1325" width="13.21875" bestFit="1" customWidth="1"/>
    <col min="1326" max="1326" width="22.88671875" bestFit="1" customWidth="1"/>
    <col min="1327" max="1327" width="14.88671875" bestFit="1" customWidth="1"/>
    <col min="1328" max="1328" width="12.5546875" bestFit="1" customWidth="1"/>
    <col min="1329" max="1329" width="10.6640625" bestFit="1" customWidth="1"/>
    <col min="1330" max="1330" width="11.88671875" bestFit="1" customWidth="1"/>
    <col min="1331" max="1331" width="5.77734375" bestFit="1" customWidth="1"/>
    <col min="1332" max="1332" width="20.33203125" bestFit="1" customWidth="1"/>
    <col min="1333" max="1333" width="17" bestFit="1" customWidth="1"/>
    <col min="1334" max="1334" width="13.21875" bestFit="1" customWidth="1"/>
    <col min="1335" max="1335" width="22.88671875" bestFit="1" customWidth="1"/>
    <col min="1336" max="1336" width="14.88671875" bestFit="1" customWidth="1"/>
    <col min="1337" max="1337" width="12.5546875" bestFit="1" customWidth="1"/>
    <col min="1338" max="1338" width="10.6640625" bestFit="1" customWidth="1"/>
    <col min="1339" max="1339" width="11.88671875" bestFit="1" customWidth="1"/>
    <col min="1340" max="1340" width="5.77734375" bestFit="1" customWidth="1"/>
    <col min="1341" max="1341" width="20.33203125" bestFit="1" customWidth="1"/>
    <col min="1342" max="1342" width="17" bestFit="1" customWidth="1"/>
    <col min="1343" max="1343" width="13.21875" bestFit="1" customWidth="1"/>
    <col min="1344" max="1344" width="22.88671875" bestFit="1" customWidth="1"/>
    <col min="1345" max="1345" width="14.88671875" bestFit="1" customWidth="1"/>
    <col min="1346" max="1346" width="12.5546875" bestFit="1" customWidth="1"/>
    <col min="1347" max="1347" width="10.6640625" bestFit="1" customWidth="1"/>
    <col min="1348" max="1348" width="11.88671875" bestFit="1" customWidth="1"/>
    <col min="1349" max="1349" width="5.77734375" bestFit="1" customWidth="1"/>
    <col min="1350" max="1350" width="20.33203125" bestFit="1" customWidth="1"/>
    <col min="1351" max="1351" width="17" bestFit="1" customWidth="1"/>
    <col min="1352" max="1352" width="13.21875" bestFit="1" customWidth="1"/>
    <col min="1353" max="1353" width="22.88671875" bestFit="1" customWidth="1"/>
    <col min="1354" max="1354" width="14.88671875" bestFit="1" customWidth="1"/>
    <col min="1355" max="1355" width="12.5546875" bestFit="1" customWidth="1"/>
    <col min="1356" max="1356" width="10.6640625" bestFit="1" customWidth="1"/>
    <col min="1357" max="1357" width="11.88671875" bestFit="1" customWidth="1"/>
    <col min="1358" max="1358" width="5.77734375" bestFit="1" customWidth="1"/>
    <col min="1359" max="1359" width="20.33203125" bestFit="1" customWidth="1"/>
    <col min="1360" max="1360" width="17" bestFit="1" customWidth="1"/>
    <col min="1361" max="1361" width="13.21875" bestFit="1" customWidth="1"/>
    <col min="1362" max="1362" width="22.88671875" bestFit="1" customWidth="1"/>
    <col min="1363" max="1363" width="14.88671875" bestFit="1" customWidth="1"/>
    <col min="1364" max="1364" width="12.5546875" bestFit="1" customWidth="1"/>
    <col min="1365" max="1365" width="10.6640625" bestFit="1" customWidth="1"/>
    <col min="1366" max="1366" width="11.88671875" bestFit="1" customWidth="1"/>
    <col min="1367" max="1367" width="5.77734375" bestFit="1" customWidth="1"/>
    <col min="1368" max="1368" width="20.33203125" bestFit="1" customWidth="1"/>
    <col min="1369" max="1369" width="17" bestFit="1" customWidth="1"/>
    <col min="1370" max="1370" width="13.21875" bestFit="1" customWidth="1"/>
    <col min="1371" max="1371" width="22.88671875" bestFit="1" customWidth="1"/>
    <col min="1372" max="1372" width="14.88671875" bestFit="1" customWidth="1"/>
    <col min="1373" max="1373" width="12.5546875" bestFit="1" customWidth="1"/>
    <col min="1374" max="1374" width="17.6640625" bestFit="1" customWidth="1"/>
    <col min="1375" max="1375" width="14.44140625" bestFit="1" customWidth="1"/>
    <col min="1376" max="1376" width="14.88671875" bestFit="1" customWidth="1"/>
    <col min="1377" max="1377" width="12.5546875" bestFit="1" customWidth="1"/>
    <col min="1378" max="1378" width="9.33203125" bestFit="1" customWidth="1"/>
    <col min="1379" max="1379" width="12.5546875" bestFit="1" customWidth="1"/>
    <col min="1380" max="1380" width="10.77734375" bestFit="1" customWidth="1"/>
    <col min="1381" max="1381" width="22.88671875" bestFit="1" customWidth="1"/>
    <col min="1382" max="1382" width="12.5546875" bestFit="1" customWidth="1"/>
    <col min="1383" max="1383" width="22.88671875" bestFit="1" customWidth="1"/>
    <col min="1384" max="1384" width="12.5546875" bestFit="1" customWidth="1"/>
    <col min="1385" max="1385" width="15.44140625" bestFit="1" customWidth="1"/>
    <col min="1386" max="1386" width="14" bestFit="1" customWidth="1"/>
    <col min="1387" max="1387" width="12.5546875" bestFit="1" customWidth="1"/>
    <col min="1388" max="1388" width="20.33203125" bestFit="1" customWidth="1"/>
    <col min="1389" max="1389" width="17" bestFit="1" customWidth="1"/>
    <col min="1390" max="1390" width="12.5546875" bestFit="1" customWidth="1"/>
    <col min="1391" max="1391" width="17" bestFit="1" customWidth="1"/>
    <col min="1392" max="1392" width="13.21875" bestFit="1" customWidth="1"/>
    <col min="1393" max="1393" width="12.5546875" bestFit="1" customWidth="1"/>
    <col min="1394" max="1394" width="11.88671875" bestFit="1" customWidth="1"/>
    <col min="1395" max="1395" width="13.21875" bestFit="1" customWidth="1"/>
    <col min="1396" max="1396" width="12.5546875" bestFit="1" customWidth="1"/>
    <col min="1397" max="1397" width="10.6640625" bestFit="1" customWidth="1"/>
    <col min="1398" max="1398" width="11.88671875" bestFit="1" customWidth="1"/>
    <col min="1399" max="1399" width="20.33203125" bestFit="1" customWidth="1"/>
    <col min="1400" max="1400" width="12.5546875" bestFit="1" customWidth="1"/>
    <col min="1401" max="1401" width="10.6640625" bestFit="1" customWidth="1"/>
    <col min="1402" max="1402" width="11.88671875" bestFit="1" customWidth="1"/>
    <col min="1403" max="1403" width="12.5546875" bestFit="1" customWidth="1"/>
    <col min="1404" max="1404" width="10.6640625" bestFit="1" customWidth="1"/>
    <col min="1405" max="1405" width="12.5546875" bestFit="1" customWidth="1"/>
    <col min="1406" max="1406" width="17.6640625" bestFit="1" customWidth="1"/>
    <col min="1407" max="1407" width="18.6640625" bestFit="1" customWidth="1"/>
    <col min="1408" max="1408" width="9.33203125" bestFit="1" customWidth="1"/>
    <col min="1409" max="1409" width="12.5546875" bestFit="1" customWidth="1"/>
    <col min="1410" max="1410" width="9.33203125" bestFit="1" customWidth="1"/>
    <col min="1411" max="1411" width="12.5546875" bestFit="1" customWidth="1"/>
    <col min="1412" max="1412" width="10.77734375" bestFit="1" customWidth="1"/>
    <col min="1413" max="1413" width="22.88671875" bestFit="1" customWidth="1"/>
    <col min="1414" max="1414" width="12.5546875" bestFit="1" customWidth="1"/>
    <col min="1415" max="1415" width="22.88671875" bestFit="1" customWidth="1"/>
    <col min="1416" max="1416" width="12.5546875" bestFit="1" customWidth="1"/>
    <col min="1417" max="1417" width="22.88671875" bestFit="1" customWidth="1"/>
    <col min="1418" max="1418" width="12.5546875" bestFit="1" customWidth="1"/>
    <col min="1419" max="1419" width="15.44140625" bestFit="1" customWidth="1"/>
    <col min="1420" max="1420" width="14" bestFit="1" customWidth="1"/>
    <col min="1421" max="1421" width="11.88671875" bestFit="1" customWidth="1"/>
    <col min="1422" max="1422" width="20.33203125" bestFit="1" customWidth="1"/>
    <col min="1423" max="1423" width="13.21875" bestFit="1" customWidth="1"/>
    <col min="1424" max="1424" width="14.88671875" bestFit="1" customWidth="1"/>
    <col min="1425" max="1425" width="12.5546875" bestFit="1" customWidth="1"/>
    <col min="1426" max="1426" width="20.33203125" bestFit="1" customWidth="1"/>
    <col min="1427" max="1427" width="17" bestFit="1" customWidth="1"/>
    <col min="1428" max="1428" width="13.21875" bestFit="1" customWidth="1"/>
    <col min="1429" max="1429" width="12.5546875" bestFit="1" customWidth="1"/>
    <col min="1430" max="1430" width="10.6640625" bestFit="1" customWidth="1"/>
    <col min="1431" max="1431" width="14.88671875" bestFit="1" customWidth="1"/>
    <col min="1432" max="1432" width="12.5546875" bestFit="1" customWidth="1"/>
    <col min="1433" max="1433" width="17" bestFit="1" customWidth="1"/>
    <col min="1434" max="1434" width="14.88671875" bestFit="1" customWidth="1"/>
    <col min="1435" max="1435" width="12.5546875" bestFit="1" customWidth="1"/>
    <col min="1436" max="1436" width="11.88671875" bestFit="1" customWidth="1"/>
    <col min="1437" max="1437" width="13.21875" bestFit="1" customWidth="1"/>
    <col min="1438" max="1438" width="12.5546875" bestFit="1" customWidth="1"/>
    <col min="1439" max="1439" width="10.6640625" bestFit="1" customWidth="1"/>
    <col min="1440" max="1440" width="17" bestFit="1" customWidth="1"/>
    <col min="1441" max="1441" width="12.5546875" bestFit="1" customWidth="1"/>
    <col min="1442" max="1442" width="17" bestFit="1" customWidth="1"/>
    <col min="1443" max="1443" width="14.88671875" bestFit="1" customWidth="1"/>
    <col min="1444" max="1444" width="12.5546875" bestFit="1" customWidth="1"/>
    <col min="1445" max="1445" width="10.6640625" bestFit="1" customWidth="1"/>
    <col min="1446" max="1446" width="17" bestFit="1" customWidth="1"/>
    <col min="1447" max="1447" width="14.88671875" bestFit="1" customWidth="1"/>
    <col min="1448" max="1448" width="12.5546875" bestFit="1" customWidth="1"/>
    <col min="1449" max="1449" width="17.6640625" bestFit="1" customWidth="1"/>
    <col min="1450" max="1450" width="8.88671875" bestFit="1" customWidth="1"/>
    <col min="1451" max="1451" width="13" bestFit="1" customWidth="1"/>
    <col min="1452" max="1452" width="12.5546875" bestFit="1" customWidth="1"/>
    <col min="1453" max="1453" width="9.33203125" bestFit="1" customWidth="1"/>
    <col min="1454" max="1454" width="12.5546875" bestFit="1" customWidth="1"/>
    <col min="1455" max="1455" width="9.33203125" bestFit="1" customWidth="1"/>
    <col min="1456" max="1456" width="12.5546875" bestFit="1" customWidth="1"/>
    <col min="1457" max="1457" width="9.33203125" bestFit="1" customWidth="1"/>
    <col min="1458" max="1458" width="12.5546875" bestFit="1" customWidth="1"/>
    <col min="1459" max="1459" width="9.33203125" bestFit="1" customWidth="1"/>
    <col min="1460" max="1460" width="12.5546875" bestFit="1" customWidth="1"/>
    <col min="1461" max="1461" width="9.33203125" bestFit="1" customWidth="1"/>
    <col min="1462" max="1462" width="12.5546875" bestFit="1" customWidth="1"/>
    <col min="1463" max="1463" width="10.77734375" bestFit="1" customWidth="1"/>
    <col min="1464" max="1464" width="22.88671875" bestFit="1" customWidth="1"/>
    <col min="1465" max="1465" width="12.5546875" bestFit="1" customWidth="1"/>
    <col min="1466" max="1466" width="22.88671875" bestFit="1" customWidth="1"/>
    <col min="1467" max="1467" width="12.5546875" bestFit="1" customWidth="1"/>
    <col min="1468" max="1468" width="22.88671875" bestFit="1" customWidth="1"/>
    <col min="1469" max="1469" width="12.5546875" bestFit="1" customWidth="1"/>
    <col min="1470" max="1470" width="22.88671875" bestFit="1" customWidth="1"/>
    <col min="1471" max="1471" width="12.5546875" bestFit="1" customWidth="1"/>
    <col min="1472" max="1472" width="15.44140625" bestFit="1" customWidth="1"/>
    <col min="1473" max="1473" width="14" bestFit="1" customWidth="1"/>
    <col min="1474" max="1474" width="14.88671875" bestFit="1" customWidth="1"/>
    <col min="1475" max="1475" width="12.5546875" bestFit="1" customWidth="1"/>
    <col min="1476" max="1476" width="10.6640625" bestFit="1" customWidth="1"/>
    <col min="1477" max="1477" width="17" bestFit="1" customWidth="1"/>
    <col min="1478" max="1478" width="12.5546875" bestFit="1" customWidth="1"/>
    <col min="1479" max="1479" width="10.6640625" bestFit="1" customWidth="1"/>
    <col min="1480" max="1480" width="17" bestFit="1" customWidth="1"/>
    <col min="1481" max="1481" width="13.21875" bestFit="1" customWidth="1"/>
    <col min="1482" max="1482" width="12.5546875" bestFit="1" customWidth="1"/>
    <col min="1483" max="1483" width="10.6640625" bestFit="1" customWidth="1"/>
    <col min="1484" max="1484" width="12.5546875" bestFit="1" customWidth="1"/>
    <col min="1485" max="1485" width="20.33203125" bestFit="1" customWidth="1"/>
    <col min="1486" max="1486" width="13.21875" bestFit="1" customWidth="1"/>
    <col min="1487" max="1487" width="12.5546875" bestFit="1" customWidth="1"/>
    <col min="1488" max="1488" width="20.33203125" bestFit="1" customWidth="1"/>
    <col min="1489" max="1489" width="13.21875" bestFit="1" customWidth="1"/>
    <col min="1490" max="1490" width="12.5546875" bestFit="1" customWidth="1"/>
    <col min="1491" max="1491" width="11.88671875" bestFit="1" customWidth="1"/>
    <col min="1492" max="1492" width="14.88671875" bestFit="1" customWidth="1"/>
    <col min="1493" max="1493" width="12.5546875" bestFit="1" customWidth="1"/>
    <col min="1494" max="1494" width="11.88671875" bestFit="1" customWidth="1"/>
    <col min="1495" max="1495" width="13.21875" bestFit="1" customWidth="1"/>
    <col min="1496" max="1496" width="12.5546875" bestFit="1" customWidth="1"/>
    <col min="1497" max="1497" width="17.6640625" bestFit="1" customWidth="1"/>
    <col min="1498" max="1498" width="16.6640625" bestFit="1" customWidth="1"/>
    <col min="1499" max="1499" width="9.33203125" bestFit="1" customWidth="1"/>
    <col min="1500" max="1500" width="12.5546875" bestFit="1" customWidth="1"/>
    <col min="1501" max="1501" width="9.33203125" bestFit="1" customWidth="1"/>
    <col min="1502" max="1502" width="12.5546875" bestFit="1" customWidth="1"/>
    <col min="1503" max="1503" width="9.33203125" bestFit="1" customWidth="1"/>
    <col min="1504" max="1504" width="12.5546875" bestFit="1" customWidth="1"/>
    <col min="1505" max="1505" width="9.33203125" bestFit="1" customWidth="1"/>
    <col min="1506" max="1506" width="12.5546875" bestFit="1" customWidth="1"/>
    <col min="1507" max="1507" width="10.77734375" bestFit="1" customWidth="1"/>
    <col min="1508" max="1508" width="14" bestFit="1" customWidth="1"/>
    <col min="1509" max="1509" width="20.33203125" bestFit="1" customWidth="1"/>
    <col min="1510" max="1510" width="13.21875" bestFit="1" customWidth="1"/>
    <col min="1511" max="1511" width="12.5546875" bestFit="1" customWidth="1"/>
    <col min="1512" max="1512" width="10.6640625" bestFit="1" customWidth="1"/>
    <col min="1513" max="1513" width="12.5546875" bestFit="1" customWidth="1"/>
    <col min="1514" max="1514" width="10.6640625" bestFit="1" customWidth="1"/>
    <col min="1515" max="1515" width="20.33203125" bestFit="1" customWidth="1"/>
    <col min="1516" max="1516" width="12.5546875" bestFit="1" customWidth="1"/>
    <col min="1517" max="1517" width="11.88671875" bestFit="1" customWidth="1"/>
    <col min="1518" max="1518" width="17" bestFit="1" customWidth="1"/>
    <col min="1519" max="1519" width="14.88671875" bestFit="1" customWidth="1"/>
    <col min="1520" max="1520" width="12.5546875" bestFit="1" customWidth="1"/>
    <col min="1521" max="1521" width="10.6640625" bestFit="1" customWidth="1"/>
    <col min="1522" max="1522" width="14.88671875" bestFit="1" customWidth="1"/>
    <col min="1523" max="1523" width="12.5546875" bestFit="1" customWidth="1"/>
    <col min="1524" max="1524" width="17" bestFit="1" customWidth="1"/>
    <col min="1525" max="1525" width="12.5546875" bestFit="1" customWidth="1"/>
    <col min="1526" max="1526" width="17.6640625" bestFit="1" customWidth="1"/>
    <col min="1527" max="1527" width="8.44140625" bestFit="1" customWidth="1"/>
    <col min="1528" max="1528" width="11.33203125" bestFit="1" customWidth="1"/>
    <col min="1529" max="1529" width="12.5546875" bestFit="1" customWidth="1"/>
    <col min="1530" max="1530" width="10.77734375" bestFit="1" customWidth="1"/>
    <col min="1531" max="1531" width="22.88671875" bestFit="1" customWidth="1"/>
    <col min="1532" max="1532" width="12.5546875" bestFit="1" customWidth="1"/>
    <col min="1533" max="1533" width="15.44140625" bestFit="1" customWidth="1"/>
    <col min="1534" max="1534" width="14.88671875" bestFit="1" customWidth="1"/>
    <col min="1535" max="1535" width="12.5546875" bestFit="1" customWidth="1"/>
    <col min="1536" max="1536" width="13.21875" bestFit="1" customWidth="1"/>
    <col min="1537" max="1537" width="14.88671875" bestFit="1" customWidth="1"/>
    <col min="1538" max="1538" width="12.5546875" bestFit="1" customWidth="1"/>
    <col min="1539" max="1539" width="14.88671875" bestFit="1" customWidth="1"/>
    <col min="1540" max="1540" width="12.5546875" bestFit="1" customWidth="1"/>
    <col min="1541" max="1541" width="10.6640625" bestFit="1" customWidth="1"/>
    <col min="1542" max="1542" width="20.33203125" bestFit="1" customWidth="1"/>
    <col min="1543" max="1543" width="13.21875" bestFit="1" customWidth="1"/>
    <col min="1544" max="1544" width="12.5546875" bestFit="1" customWidth="1"/>
    <col min="1545" max="1545" width="14.88671875" bestFit="1" customWidth="1"/>
    <col min="1546" max="1546" width="12.5546875" bestFit="1" customWidth="1"/>
    <col min="1547" max="1547" width="11.88671875" bestFit="1" customWidth="1"/>
    <col min="1548" max="1548" width="20.33203125" bestFit="1" customWidth="1"/>
    <col min="1549" max="1549" width="14.88671875" bestFit="1" customWidth="1"/>
    <col min="1550" max="1550" width="12.5546875" bestFit="1" customWidth="1"/>
    <col min="1551" max="1551" width="17.6640625" bestFit="1" customWidth="1"/>
    <col min="1552" max="1552" width="15" bestFit="1" customWidth="1"/>
    <col min="1553" max="1553" width="11.44140625" bestFit="1" customWidth="1"/>
    <col min="1554" max="1554" width="14" bestFit="1" customWidth="1"/>
    <col min="1555" max="1555" width="16.77734375" bestFit="1" customWidth="1"/>
    <col min="1556" max="1556" width="14.88671875" bestFit="1" customWidth="1"/>
    <col min="1557" max="1557" width="14" bestFit="1" customWidth="1"/>
    <col min="1558" max="1558" width="16.77734375" bestFit="1" customWidth="1"/>
    <col min="1559" max="1559" width="16.109375" bestFit="1" customWidth="1"/>
    <col min="1560" max="1560" width="7.5546875" bestFit="1" customWidth="1"/>
    <col min="1561" max="1562" width="10.21875" bestFit="1" customWidth="1"/>
    <col min="1563" max="1563" width="21.109375" bestFit="1" customWidth="1"/>
    <col min="1564" max="1564" width="7.33203125" bestFit="1" customWidth="1"/>
    <col min="1565" max="1565" width="16.77734375" bestFit="1" customWidth="1"/>
    <col min="1566" max="1566" width="23.88671875" bestFit="1" customWidth="1"/>
    <col min="1567" max="1567" width="14.5546875" bestFit="1" customWidth="1"/>
    <col min="1568" max="1568" width="7.33203125" bestFit="1" customWidth="1"/>
    <col min="1569" max="1569" width="16.77734375" bestFit="1" customWidth="1"/>
    <col min="1570" max="1570" width="17.33203125" bestFit="1" customWidth="1"/>
    <col min="1571" max="1571" width="23.6640625" bestFit="1" customWidth="1"/>
    <col min="1572" max="1572" width="14.5546875" bestFit="1" customWidth="1"/>
    <col min="1573" max="1573" width="26.44140625" bestFit="1" customWidth="1"/>
    <col min="1574" max="1574" width="16.109375" bestFit="1" customWidth="1"/>
    <col min="1575" max="1578" width="7.33203125" bestFit="1" customWidth="1"/>
    <col min="1579" max="1579" width="16.77734375" bestFit="1" customWidth="1"/>
    <col min="1580" max="1580" width="18.88671875" bestFit="1" customWidth="1"/>
    <col min="1581" max="1581" width="14.109375" bestFit="1" customWidth="1"/>
    <col min="1582" max="1582" width="10.77734375" bestFit="1" customWidth="1"/>
    <col min="1583" max="1583" width="9.88671875" bestFit="1" customWidth="1"/>
    <col min="1584" max="1584" width="12.21875" bestFit="1" customWidth="1"/>
    <col min="1585" max="1585" width="12.109375" bestFit="1" customWidth="1"/>
    <col min="1586" max="1586" width="9.33203125" bestFit="1" customWidth="1"/>
    <col min="1587" max="1587" width="9.88671875" bestFit="1" customWidth="1"/>
    <col min="1588" max="1588" width="12.21875" bestFit="1" customWidth="1"/>
    <col min="1589" max="1589" width="12.109375" bestFit="1" customWidth="1"/>
    <col min="1590" max="1590" width="9.33203125" bestFit="1" customWidth="1"/>
    <col min="1591" max="1591" width="9.88671875" bestFit="1" customWidth="1"/>
    <col min="1592" max="1592" width="12.21875" bestFit="1" customWidth="1"/>
    <col min="1593" max="1593" width="12.109375" bestFit="1" customWidth="1"/>
    <col min="1594" max="1594" width="9.33203125" bestFit="1" customWidth="1"/>
    <col min="1595" max="1595" width="9.88671875" bestFit="1" customWidth="1"/>
    <col min="1596" max="1596" width="12.21875" bestFit="1" customWidth="1"/>
    <col min="1597" max="1597" width="12.109375" bestFit="1" customWidth="1"/>
    <col min="1598" max="1598" width="19" bestFit="1" customWidth="1"/>
    <col min="1599" max="1599" width="13.77734375" bestFit="1" customWidth="1"/>
    <col min="1600" max="1600" width="14.44140625" bestFit="1" customWidth="1"/>
    <col min="1601" max="1601" width="12.109375" bestFit="1" customWidth="1"/>
    <col min="1602" max="1602" width="10.33203125" bestFit="1" customWidth="1"/>
    <col min="1603" max="1603" width="18" bestFit="1" customWidth="1"/>
    <col min="1604" max="1604" width="12.109375" bestFit="1" customWidth="1"/>
    <col min="1605" max="1605" width="21" bestFit="1" customWidth="1"/>
    <col min="1606" max="1606" width="17.88671875" bestFit="1" customWidth="1"/>
    <col min="1607" max="1607" width="13.33203125" bestFit="1" customWidth="1"/>
    <col min="1608" max="1608" width="12.109375" bestFit="1" customWidth="1"/>
    <col min="1609" max="1609" width="16.21875" bestFit="1" customWidth="1"/>
    <col min="1610" max="1610" width="9.33203125" bestFit="1" customWidth="1"/>
    <col min="1611" max="1611" width="12.109375" bestFit="1" customWidth="1"/>
    <col min="1612" max="1612" width="10.33203125" bestFit="1" customWidth="1"/>
    <col min="1613" max="1613" width="18" bestFit="1" customWidth="1"/>
    <col min="1614" max="1614" width="12.109375" bestFit="1" customWidth="1"/>
    <col min="1615" max="1615" width="21" bestFit="1" customWidth="1"/>
    <col min="1616" max="1616" width="8.6640625" bestFit="1" customWidth="1"/>
    <col min="1617" max="1617" width="12.88671875" bestFit="1" customWidth="1"/>
    <col min="1618" max="1618" width="12.109375" bestFit="1" customWidth="1"/>
    <col min="1619" max="1619" width="15.109375" bestFit="1" customWidth="1"/>
    <col min="1620" max="1620" width="18" bestFit="1" customWidth="1"/>
    <col min="1621" max="1621" width="12.109375" bestFit="1" customWidth="1"/>
    <col min="1622" max="1622" width="21" bestFit="1" customWidth="1"/>
    <col min="1623" max="1623" width="14.33203125" bestFit="1" customWidth="1"/>
    <col min="1624" max="1624" width="12.109375" bestFit="1" customWidth="1"/>
    <col min="1625" max="1625" width="12.21875" bestFit="1" customWidth="1"/>
    <col min="1626" max="1626" width="12.109375" bestFit="1" customWidth="1"/>
    <col min="1627" max="1627" width="17.44140625" bestFit="1" customWidth="1"/>
    <col min="1628" max="1628" width="23.6640625" bestFit="1" customWidth="1"/>
    <col min="1629" max="1629" width="12.109375" bestFit="1" customWidth="1"/>
    <col min="1630" max="1630" width="27" bestFit="1" customWidth="1"/>
    <col min="1631" max="1631" width="16" bestFit="1" customWidth="1"/>
    <col min="1632" max="1632" width="9.33203125" bestFit="1" customWidth="1"/>
    <col min="1633" max="1633" width="12.109375" bestFit="1" customWidth="1"/>
    <col min="1634" max="1634" width="10.33203125" bestFit="1" customWidth="1"/>
    <col min="1635" max="1635" width="21.109375" bestFit="1" customWidth="1"/>
    <col min="1636" max="1636" width="12.109375" bestFit="1" customWidth="1"/>
    <col min="1637" max="1637" width="24.33203125" bestFit="1" customWidth="1"/>
    <col min="1638" max="1638" width="18" bestFit="1" customWidth="1"/>
    <col min="1639" max="1639" width="12.109375" bestFit="1" customWidth="1"/>
    <col min="1640" max="1640" width="21" bestFit="1" customWidth="1"/>
    <col min="1641" max="1641" width="8" bestFit="1" customWidth="1"/>
    <col min="1642" max="1642" width="11.109375" bestFit="1" customWidth="1"/>
    <col min="1643" max="1643" width="27" bestFit="1" customWidth="1"/>
    <col min="1644" max="1644" width="16" bestFit="1" customWidth="1"/>
    <col min="1645" max="1645" width="9.33203125" bestFit="1" customWidth="1"/>
    <col min="1646" max="1646" width="12.109375" bestFit="1" customWidth="1"/>
    <col min="1647" max="1647" width="10.33203125" bestFit="1" customWidth="1"/>
    <col min="1648" max="1648" width="21.109375" bestFit="1" customWidth="1"/>
    <col min="1649" max="1649" width="12.109375" bestFit="1" customWidth="1"/>
    <col min="1650" max="1650" width="24.33203125" bestFit="1" customWidth="1"/>
    <col min="1651" max="1651" width="18" bestFit="1" customWidth="1"/>
    <col min="1652" max="1652" width="12.109375" bestFit="1" customWidth="1"/>
    <col min="1653" max="1653" width="21" bestFit="1" customWidth="1"/>
    <col min="1654" max="1654" width="8" bestFit="1" customWidth="1"/>
    <col min="1655" max="1655" width="11.33203125" bestFit="1" customWidth="1"/>
    <col min="1656" max="1656" width="12.109375" bestFit="1" customWidth="1"/>
    <col min="1657" max="1657" width="10.33203125" bestFit="1" customWidth="1"/>
    <col min="1658" max="1658" width="14.44140625" bestFit="1" customWidth="1"/>
    <col min="1659" max="1659" width="11.109375" bestFit="1" customWidth="1"/>
  </cols>
  <sheetData>
    <row r="3" spans="1:42" x14ac:dyDescent="0.3">
      <c r="A3" s="15" t="s">
        <v>3</v>
      </c>
      <c r="B3" t="s">
        <v>105</v>
      </c>
    </row>
    <row r="4" spans="1:42" x14ac:dyDescent="0.3">
      <c r="A4" s="15" t="s">
        <v>10</v>
      </c>
      <c r="B4" t="s">
        <v>97</v>
      </c>
    </row>
    <row r="6" spans="1:42" x14ac:dyDescent="0.3">
      <c r="A6" s="15" t="s">
        <v>113</v>
      </c>
      <c r="B6" s="15" t="s">
        <v>96</v>
      </c>
    </row>
    <row r="7" spans="1:42" x14ac:dyDescent="0.3">
      <c r="B7" t="s">
        <v>50</v>
      </c>
      <c r="F7" t="s">
        <v>124</v>
      </c>
      <c r="G7" t="s">
        <v>19</v>
      </c>
      <c r="K7" t="s">
        <v>98</v>
      </c>
      <c r="L7" t="s">
        <v>29</v>
      </c>
      <c r="P7" t="s">
        <v>99</v>
      </c>
      <c r="Q7" t="s">
        <v>24</v>
      </c>
      <c r="U7" t="s">
        <v>125</v>
      </c>
      <c r="V7" t="s">
        <v>38</v>
      </c>
      <c r="Z7" t="s">
        <v>126</v>
      </c>
      <c r="AA7" t="s">
        <v>40</v>
      </c>
      <c r="AE7" t="s">
        <v>127</v>
      </c>
      <c r="AF7" t="s">
        <v>49</v>
      </c>
      <c r="AJ7" t="s">
        <v>100</v>
      </c>
      <c r="AK7" t="s">
        <v>51</v>
      </c>
      <c r="AO7" t="s">
        <v>128</v>
      </c>
      <c r="AP7" t="s">
        <v>95</v>
      </c>
    </row>
    <row r="8" spans="1:42" x14ac:dyDescent="0.3">
      <c r="B8" t="s">
        <v>42</v>
      </c>
      <c r="E8" t="s">
        <v>117</v>
      </c>
      <c r="G8" t="s">
        <v>42</v>
      </c>
      <c r="J8" t="s">
        <v>117</v>
      </c>
      <c r="L8" t="s">
        <v>42</v>
      </c>
      <c r="O8" t="s">
        <v>117</v>
      </c>
      <c r="Q8" t="s">
        <v>42</v>
      </c>
      <c r="T8" t="s">
        <v>117</v>
      </c>
      <c r="V8" t="s">
        <v>42</v>
      </c>
      <c r="Y8" t="s">
        <v>117</v>
      </c>
      <c r="AA8" t="s">
        <v>42</v>
      </c>
      <c r="AD8" t="s">
        <v>117</v>
      </c>
      <c r="AF8" t="s">
        <v>42</v>
      </c>
      <c r="AI8" t="s">
        <v>117</v>
      </c>
      <c r="AK8" t="s">
        <v>42</v>
      </c>
      <c r="AN8" t="s">
        <v>117</v>
      </c>
    </row>
    <row r="9" spans="1:42" x14ac:dyDescent="0.3">
      <c r="A9" s="15" t="s">
        <v>94</v>
      </c>
      <c r="B9" t="s">
        <v>28</v>
      </c>
      <c r="C9" t="s">
        <v>18</v>
      </c>
      <c r="D9" t="s">
        <v>34</v>
      </c>
      <c r="G9" t="s">
        <v>28</v>
      </c>
      <c r="H9" t="s">
        <v>18</v>
      </c>
      <c r="I9" t="s">
        <v>34</v>
      </c>
      <c r="L9" t="s">
        <v>28</v>
      </c>
      <c r="M9" t="s">
        <v>18</v>
      </c>
      <c r="N9" t="s">
        <v>34</v>
      </c>
      <c r="Q9" t="s">
        <v>28</v>
      </c>
      <c r="R9" t="s">
        <v>18</v>
      </c>
      <c r="S9" t="s">
        <v>34</v>
      </c>
      <c r="V9" t="s">
        <v>28</v>
      </c>
      <c r="W9" t="s">
        <v>18</v>
      </c>
      <c r="X9" t="s">
        <v>34</v>
      </c>
      <c r="AA9" t="s">
        <v>28</v>
      </c>
      <c r="AB9" t="s">
        <v>18</v>
      </c>
      <c r="AC9" t="s">
        <v>34</v>
      </c>
      <c r="AF9" t="s">
        <v>28</v>
      </c>
      <c r="AG9" t="s">
        <v>18</v>
      </c>
      <c r="AH9" t="s">
        <v>34</v>
      </c>
      <c r="AK9" t="s">
        <v>28</v>
      </c>
      <c r="AL9" t="s">
        <v>18</v>
      </c>
      <c r="AM9" t="s">
        <v>34</v>
      </c>
    </row>
    <row r="10" spans="1:42" x14ac:dyDescent="0.3">
      <c r="A10" s="16" t="s">
        <v>23</v>
      </c>
      <c r="I10">
        <v>41.24</v>
      </c>
      <c r="J10">
        <v>41.24</v>
      </c>
      <c r="K10">
        <v>41.24</v>
      </c>
      <c r="AH10">
        <v>48.05</v>
      </c>
      <c r="AI10">
        <v>48.05</v>
      </c>
      <c r="AJ10">
        <v>48.05</v>
      </c>
      <c r="AP10">
        <v>89.289999999999992</v>
      </c>
    </row>
    <row r="11" spans="1:42" x14ac:dyDescent="0.3">
      <c r="A11" s="17" t="s">
        <v>53</v>
      </c>
      <c r="AH11">
        <v>48.05</v>
      </c>
      <c r="AI11">
        <v>48.05</v>
      </c>
      <c r="AJ11">
        <v>48.05</v>
      </c>
      <c r="AP11">
        <v>48.05</v>
      </c>
    </row>
    <row r="12" spans="1:42" x14ac:dyDescent="0.3">
      <c r="A12" s="17" t="s">
        <v>60</v>
      </c>
      <c r="I12">
        <v>41.24</v>
      </c>
      <c r="J12">
        <v>41.24</v>
      </c>
      <c r="K12">
        <v>41.24</v>
      </c>
      <c r="AP12">
        <v>41.24</v>
      </c>
    </row>
    <row r="13" spans="1:42" x14ac:dyDescent="0.3">
      <c r="A13" s="16" t="s">
        <v>39</v>
      </c>
      <c r="N13">
        <v>8.75</v>
      </c>
      <c r="O13">
        <v>8.75</v>
      </c>
      <c r="P13">
        <v>8.75</v>
      </c>
      <c r="AP13">
        <v>8.75</v>
      </c>
    </row>
    <row r="14" spans="1:42" x14ac:dyDescent="0.3">
      <c r="A14" s="17" t="s">
        <v>27</v>
      </c>
      <c r="N14">
        <v>8.75</v>
      </c>
      <c r="O14">
        <v>8.75</v>
      </c>
      <c r="P14">
        <v>8.75</v>
      </c>
      <c r="AP14">
        <v>8.75</v>
      </c>
    </row>
    <row r="15" spans="1:42" x14ac:dyDescent="0.3">
      <c r="A15" s="16" t="s">
        <v>119</v>
      </c>
    </row>
    <row r="16" spans="1:42" x14ac:dyDescent="0.3">
      <c r="A16" s="17" t="s">
        <v>22</v>
      </c>
    </row>
    <row r="17" spans="1:1" x14ac:dyDescent="0.3">
      <c r="A17" s="17" t="s">
        <v>53</v>
      </c>
    </row>
    <row r="18" spans="1:1" x14ac:dyDescent="0.3">
      <c r="A18" s="17" t="s">
        <v>55</v>
      </c>
    </row>
    <row r="19" spans="1:1" x14ac:dyDescent="0.3">
      <c r="A19" s="17" t="s">
        <v>63</v>
      </c>
    </row>
    <row r="20" spans="1:1" x14ac:dyDescent="0.3">
      <c r="A20" s="17" t="s">
        <v>31</v>
      </c>
    </row>
    <row r="21" spans="1:1" x14ac:dyDescent="0.3">
      <c r="A21" s="17" t="s">
        <v>65</v>
      </c>
    </row>
    <row r="22" spans="1:1" x14ac:dyDescent="0.3">
      <c r="A22" s="17" t="s">
        <v>46</v>
      </c>
    </row>
    <row r="23" spans="1:1" x14ac:dyDescent="0.3">
      <c r="A23" s="17" t="s">
        <v>58</v>
      </c>
    </row>
    <row r="24" spans="1:1" x14ac:dyDescent="0.3">
      <c r="A24" s="17" t="s">
        <v>15</v>
      </c>
    </row>
    <row r="25" spans="1:1" x14ac:dyDescent="0.3">
      <c r="A25" s="17" t="s">
        <v>60</v>
      </c>
    </row>
    <row r="26" spans="1:1" x14ac:dyDescent="0.3">
      <c r="A26" s="17" t="s">
        <v>44</v>
      </c>
    </row>
    <row r="27" spans="1:1" x14ac:dyDescent="0.3">
      <c r="A27" s="17" t="s">
        <v>27</v>
      </c>
    </row>
    <row r="28" spans="1:1" x14ac:dyDescent="0.3">
      <c r="A28" s="16" t="s">
        <v>120</v>
      </c>
    </row>
    <row r="29" spans="1:1" x14ac:dyDescent="0.3">
      <c r="A29" s="17" t="s">
        <v>22</v>
      </c>
    </row>
    <row r="30" spans="1:1" x14ac:dyDescent="0.3">
      <c r="A30" s="17" t="s">
        <v>53</v>
      </c>
    </row>
    <row r="31" spans="1:1" x14ac:dyDescent="0.3">
      <c r="A31" s="17" t="s">
        <v>55</v>
      </c>
    </row>
    <row r="32" spans="1:1" x14ac:dyDescent="0.3">
      <c r="A32" s="17" t="s">
        <v>63</v>
      </c>
    </row>
    <row r="33" spans="1:1" x14ac:dyDescent="0.3">
      <c r="A33" s="17" t="s">
        <v>31</v>
      </c>
    </row>
    <row r="34" spans="1:1" x14ac:dyDescent="0.3">
      <c r="A34" s="17" t="s">
        <v>65</v>
      </c>
    </row>
    <row r="35" spans="1:1" x14ac:dyDescent="0.3">
      <c r="A35" s="17" t="s">
        <v>46</v>
      </c>
    </row>
    <row r="36" spans="1:1" x14ac:dyDescent="0.3">
      <c r="A36" s="17" t="s">
        <v>58</v>
      </c>
    </row>
    <row r="37" spans="1:1" x14ac:dyDescent="0.3">
      <c r="A37" s="17" t="s">
        <v>15</v>
      </c>
    </row>
    <row r="38" spans="1:1" x14ac:dyDescent="0.3">
      <c r="A38" s="17" t="s">
        <v>60</v>
      </c>
    </row>
    <row r="39" spans="1:1" x14ac:dyDescent="0.3">
      <c r="A39" s="17" t="s">
        <v>44</v>
      </c>
    </row>
    <row r="40" spans="1:1" x14ac:dyDescent="0.3">
      <c r="A40" s="17" t="s">
        <v>27</v>
      </c>
    </row>
    <row r="41" spans="1:1" x14ac:dyDescent="0.3">
      <c r="A41" s="16" t="s">
        <v>121</v>
      </c>
    </row>
    <row r="42" spans="1:1" x14ac:dyDescent="0.3">
      <c r="A42" s="17" t="s">
        <v>22</v>
      </c>
    </row>
    <row r="43" spans="1:1" x14ac:dyDescent="0.3">
      <c r="A43" s="17" t="s">
        <v>53</v>
      </c>
    </row>
    <row r="44" spans="1:1" x14ac:dyDescent="0.3">
      <c r="A44" s="17" t="s">
        <v>55</v>
      </c>
    </row>
    <row r="45" spans="1:1" x14ac:dyDescent="0.3">
      <c r="A45" s="17" t="s">
        <v>63</v>
      </c>
    </row>
    <row r="46" spans="1:1" x14ac:dyDescent="0.3">
      <c r="A46" s="17" t="s">
        <v>31</v>
      </c>
    </row>
    <row r="47" spans="1:1" x14ac:dyDescent="0.3">
      <c r="A47" s="17" t="s">
        <v>65</v>
      </c>
    </row>
    <row r="48" spans="1:1" x14ac:dyDescent="0.3">
      <c r="A48" s="17" t="s">
        <v>46</v>
      </c>
    </row>
    <row r="49" spans="1:1" x14ac:dyDescent="0.3">
      <c r="A49" s="17" t="s">
        <v>58</v>
      </c>
    </row>
    <row r="50" spans="1:1" x14ac:dyDescent="0.3">
      <c r="A50" s="17" t="s">
        <v>15</v>
      </c>
    </row>
    <row r="51" spans="1:1" x14ac:dyDescent="0.3">
      <c r="A51" s="17" t="s">
        <v>60</v>
      </c>
    </row>
    <row r="52" spans="1:1" x14ac:dyDescent="0.3">
      <c r="A52" s="17" t="s">
        <v>44</v>
      </c>
    </row>
    <row r="53" spans="1:1" x14ac:dyDescent="0.3">
      <c r="A53" s="17" t="s">
        <v>27</v>
      </c>
    </row>
    <row r="54" spans="1:1" x14ac:dyDescent="0.3">
      <c r="A54" s="16" t="s">
        <v>122</v>
      </c>
    </row>
    <row r="55" spans="1:1" x14ac:dyDescent="0.3">
      <c r="A55" s="17" t="s">
        <v>22</v>
      </c>
    </row>
    <row r="56" spans="1:1" x14ac:dyDescent="0.3">
      <c r="A56" s="17" t="s">
        <v>53</v>
      </c>
    </row>
    <row r="57" spans="1:1" x14ac:dyDescent="0.3">
      <c r="A57" s="17" t="s">
        <v>55</v>
      </c>
    </row>
    <row r="58" spans="1:1" x14ac:dyDescent="0.3">
      <c r="A58" s="17" t="s">
        <v>63</v>
      </c>
    </row>
    <row r="59" spans="1:1" x14ac:dyDescent="0.3">
      <c r="A59" s="17" t="s">
        <v>31</v>
      </c>
    </row>
    <row r="60" spans="1:1" x14ac:dyDescent="0.3">
      <c r="A60" s="17" t="s">
        <v>65</v>
      </c>
    </row>
    <row r="61" spans="1:1" x14ac:dyDescent="0.3">
      <c r="A61" s="17" t="s">
        <v>46</v>
      </c>
    </row>
    <row r="62" spans="1:1" x14ac:dyDescent="0.3">
      <c r="A62" s="17" t="s">
        <v>58</v>
      </c>
    </row>
    <row r="63" spans="1:1" x14ac:dyDescent="0.3">
      <c r="A63" s="17" t="s">
        <v>15</v>
      </c>
    </row>
    <row r="64" spans="1:1" x14ac:dyDescent="0.3">
      <c r="A64" s="17" t="s">
        <v>60</v>
      </c>
    </row>
    <row r="65" spans="1:42" x14ac:dyDescent="0.3">
      <c r="A65" s="17" t="s">
        <v>44</v>
      </c>
    </row>
    <row r="66" spans="1:42" x14ac:dyDescent="0.3">
      <c r="A66" s="17" t="s">
        <v>27</v>
      </c>
    </row>
    <row r="67" spans="1:42" x14ac:dyDescent="0.3">
      <c r="A67" s="16" t="s">
        <v>123</v>
      </c>
    </row>
    <row r="68" spans="1:42" x14ac:dyDescent="0.3">
      <c r="A68" s="17" t="s">
        <v>22</v>
      </c>
    </row>
    <row r="69" spans="1:42" x14ac:dyDescent="0.3">
      <c r="A69" s="17" t="s">
        <v>53</v>
      </c>
    </row>
    <row r="70" spans="1:42" x14ac:dyDescent="0.3">
      <c r="A70" s="17" t="s">
        <v>55</v>
      </c>
    </row>
    <row r="71" spans="1:42" x14ac:dyDescent="0.3">
      <c r="A71" s="17" t="s">
        <v>63</v>
      </c>
    </row>
    <row r="72" spans="1:42" x14ac:dyDescent="0.3">
      <c r="A72" s="17" t="s">
        <v>31</v>
      </c>
    </row>
    <row r="73" spans="1:42" x14ac:dyDescent="0.3">
      <c r="A73" s="17" t="s">
        <v>65</v>
      </c>
    </row>
    <row r="74" spans="1:42" x14ac:dyDescent="0.3">
      <c r="A74" s="17" t="s">
        <v>46</v>
      </c>
    </row>
    <row r="75" spans="1:42" x14ac:dyDescent="0.3">
      <c r="A75" s="17" t="s">
        <v>58</v>
      </c>
    </row>
    <row r="76" spans="1:42" x14ac:dyDescent="0.3">
      <c r="A76" s="17" t="s">
        <v>15</v>
      </c>
    </row>
    <row r="77" spans="1:42" x14ac:dyDescent="0.3">
      <c r="A77" s="17" t="s">
        <v>60</v>
      </c>
    </row>
    <row r="78" spans="1:42" x14ac:dyDescent="0.3">
      <c r="A78" s="17" t="s">
        <v>44</v>
      </c>
    </row>
    <row r="79" spans="1:42" x14ac:dyDescent="0.3">
      <c r="A79" s="17" t="s">
        <v>27</v>
      </c>
    </row>
    <row r="80" spans="1:42" x14ac:dyDescent="0.3">
      <c r="A80" s="16" t="s">
        <v>95</v>
      </c>
      <c r="I80">
        <v>41.24</v>
      </c>
      <c r="J80">
        <v>41.24</v>
      </c>
      <c r="K80">
        <v>41.24</v>
      </c>
      <c r="N80">
        <v>8.75</v>
      </c>
      <c r="O80">
        <v>8.75</v>
      </c>
      <c r="P80">
        <v>8.75</v>
      </c>
      <c r="AH80">
        <v>48.05</v>
      </c>
      <c r="AI80">
        <v>48.05</v>
      </c>
      <c r="AJ80">
        <v>48.05</v>
      </c>
      <c r="AP80">
        <v>98.039999999999992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1BD7-5BB4-4564-AB9B-DD18D767972C}">
  <dimension ref="A3:N8"/>
  <sheetViews>
    <sheetView workbookViewId="0">
      <selection activeCell="K8" sqref="K8"/>
    </sheetView>
  </sheetViews>
  <sheetFormatPr defaultRowHeight="14.4" x14ac:dyDescent="0.3"/>
  <cols>
    <col min="1" max="1" width="20.109375" bestFit="1" customWidth="1"/>
    <col min="2" max="2" width="15.5546875" bestFit="1" customWidth="1"/>
    <col min="3" max="3" width="10.33203125" bestFit="1" customWidth="1"/>
    <col min="4" max="4" width="12.44140625" bestFit="1" customWidth="1"/>
    <col min="5" max="5" width="5" bestFit="1" customWidth="1"/>
    <col min="6" max="6" width="10.88671875" bestFit="1" customWidth="1"/>
    <col min="7" max="7" width="5" bestFit="1" customWidth="1"/>
    <col min="8" max="8" width="9.33203125" bestFit="1" customWidth="1"/>
    <col min="9" max="11" width="8.88671875" bestFit="1" customWidth="1"/>
    <col min="12" max="13" width="9.88671875" bestFit="1" customWidth="1"/>
    <col min="14" max="14" width="10.77734375" bestFit="1" customWidth="1"/>
    <col min="15" max="15" width="4" bestFit="1" customWidth="1"/>
    <col min="16" max="16" width="9.33203125" bestFit="1" customWidth="1"/>
    <col min="17" max="17" width="15.109375" bestFit="1" customWidth="1"/>
    <col min="18" max="18" width="12.88671875" bestFit="1" customWidth="1"/>
    <col min="19" max="19" width="10.33203125" bestFit="1" customWidth="1"/>
    <col min="20" max="20" width="12.44140625" bestFit="1" customWidth="1"/>
    <col min="21" max="21" width="5" bestFit="1" customWidth="1"/>
    <col min="22" max="22" width="10.88671875" bestFit="1" customWidth="1"/>
    <col min="23" max="23" width="4" bestFit="1" customWidth="1"/>
    <col min="24" max="24" width="9.33203125" bestFit="1" customWidth="1"/>
    <col min="25" max="25" width="15.6640625" bestFit="1" customWidth="1"/>
    <col min="26" max="26" width="17" bestFit="1" customWidth="1"/>
    <col min="27" max="27" width="10.33203125" bestFit="1" customWidth="1"/>
    <col min="28" max="28" width="12.44140625" bestFit="1" customWidth="1"/>
    <col min="29" max="29" width="10.88671875" bestFit="1" customWidth="1"/>
    <col min="30" max="30" width="4" bestFit="1" customWidth="1"/>
    <col min="31" max="31" width="9.33203125" bestFit="1" customWidth="1"/>
    <col min="32" max="32" width="19.77734375" bestFit="1" customWidth="1"/>
    <col min="33" max="33" width="10.77734375" bestFit="1" customWidth="1"/>
  </cols>
  <sheetData>
    <row r="3" spans="1:14" x14ac:dyDescent="0.3">
      <c r="A3" s="15" t="s">
        <v>114</v>
      </c>
      <c r="B3" s="15" t="s">
        <v>96</v>
      </c>
    </row>
    <row r="4" spans="1:14" x14ac:dyDescent="0.3">
      <c r="A4" s="15" t="s">
        <v>94</v>
      </c>
      <c r="B4" t="s">
        <v>36</v>
      </c>
      <c r="C4" t="s">
        <v>23</v>
      </c>
      <c r="D4" t="s">
        <v>39</v>
      </c>
      <c r="E4" t="s">
        <v>16</v>
      </c>
      <c r="F4" t="s">
        <v>41</v>
      </c>
      <c r="G4" t="s">
        <v>32</v>
      </c>
      <c r="H4" t="s">
        <v>47</v>
      </c>
      <c r="I4" t="s">
        <v>119</v>
      </c>
      <c r="J4" t="s">
        <v>120</v>
      </c>
      <c r="K4" t="s">
        <v>121</v>
      </c>
      <c r="L4" t="s">
        <v>122</v>
      </c>
      <c r="M4" t="s">
        <v>123</v>
      </c>
      <c r="N4" t="s">
        <v>95</v>
      </c>
    </row>
    <row r="5" spans="1:14" x14ac:dyDescent="0.3">
      <c r="A5" s="16" t="s">
        <v>53</v>
      </c>
      <c r="B5">
        <v>16.100000000000001</v>
      </c>
      <c r="C5">
        <v>21.3</v>
      </c>
      <c r="D5">
        <v>25.399999999999995</v>
      </c>
      <c r="E5">
        <v>11.9</v>
      </c>
      <c r="F5">
        <v>6.6000000000000005</v>
      </c>
      <c r="G5">
        <v>4.5</v>
      </c>
      <c r="H5">
        <v>9.5</v>
      </c>
      <c r="N5">
        <v>95.3</v>
      </c>
    </row>
    <row r="6" spans="1:14" x14ac:dyDescent="0.3">
      <c r="A6" s="16" t="s">
        <v>55</v>
      </c>
      <c r="B6">
        <v>12.3</v>
      </c>
      <c r="C6">
        <v>4.0999999999999996</v>
      </c>
      <c r="D6">
        <v>1.3</v>
      </c>
      <c r="E6">
        <v>10.199999999999999</v>
      </c>
      <c r="F6">
        <v>10.1</v>
      </c>
      <c r="G6">
        <v>2.9000000000000004</v>
      </c>
      <c r="H6">
        <v>2</v>
      </c>
      <c r="N6">
        <v>42.9</v>
      </c>
    </row>
    <row r="7" spans="1:14" x14ac:dyDescent="0.3">
      <c r="A7" s="16" t="s">
        <v>31</v>
      </c>
      <c r="B7">
        <v>28.800000000000004</v>
      </c>
      <c r="C7">
        <v>0.6</v>
      </c>
      <c r="D7">
        <v>7.4</v>
      </c>
      <c r="E7">
        <v>10.8</v>
      </c>
      <c r="F7">
        <v>12.8</v>
      </c>
      <c r="G7">
        <v>2.9</v>
      </c>
      <c r="H7">
        <v>2.2999999999999998</v>
      </c>
      <c r="N7">
        <v>65.600000000000009</v>
      </c>
    </row>
    <row r="8" spans="1:14" x14ac:dyDescent="0.3">
      <c r="A8" s="16" t="s">
        <v>95</v>
      </c>
      <c r="B8">
        <v>57.2</v>
      </c>
      <c r="C8">
        <v>26</v>
      </c>
      <c r="D8">
        <v>34.099999999999994</v>
      </c>
      <c r="E8">
        <v>32.900000000000006</v>
      </c>
      <c r="F8">
        <v>29.5</v>
      </c>
      <c r="G8">
        <v>10.3</v>
      </c>
      <c r="H8">
        <v>13.8</v>
      </c>
      <c r="N8">
        <v>203.8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0C65-6C41-4CCE-A9B7-8906D83CF0E3}">
  <dimension ref="A1:AN24"/>
  <sheetViews>
    <sheetView zoomScale="79" workbookViewId="0">
      <selection activeCell="A3" sqref="A3"/>
    </sheetView>
  </sheetViews>
  <sheetFormatPr defaultRowHeight="14.4" x14ac:dyDescent="0.3"/>
  <cols>
    <col min="1" max="1" width="16.5546875" bestFit="1" customWidth="1"/>
    <col min="2" max="2" width="23.77734375" bestFit="1" customWidth="1"/>
    <col min="3" max="3" width="10.33203125" bestFit="1" customWidth="1"/>
    <col min="4" max="4" width="10.88671875" bestFit="1" customWidth="1"/>
    <col min="5" max="5" width="15" bestFit="1" customWidth="1"/>
    <col min="6" max="6" width="12.109375" bestFit="1" customWidth="1"/>
    <col min="7" max="7" width="13.44140625" bestFit="1" customWidth="1"/>
    <col min="8" max="8" width="11.6640625" bestFit="1" customWidth="1"/>
    <col min="9" max="9" width="14.44140625" bestFit="1" customWidth="1"/>
    <col min="10" max="10" width="13.21875" bestFit="1" customWidth="1"/>
    <col min="11" max="11" width="18.33203125" bestFit="1" customWidth="1"/>
    <col min="12" max="12" width="9.33203125" bestFit="1" customWidth="1"/>
    <col min="13" max="13" width="13.77734375" bestFit="1" customWidth="1"/>
    <col min="14" max="14" width="24" bestFit="1" customWidth="1"/>
    <col min="15" max="15" width="10.33203125" bestFit="1" customWidth="1"/>
    <col min="16" max="16" width="10.88671875" bestFit="1" customWidth="1"/>
    <col min="17" max="17" width="15" bestFit="1" customWidth="1"/>
    <col min="18" max="18" width="12.109375" bestFit="1" customWidth="1"/>
    <col min="19" max="19" width="13.44140625" bestFit="1" customWidth="1"/>
    <col min="20" max="20" width="11.6640625" bestFit="1" customWidth="1"/>
    <col min="21" max="21" width="14.44140625" bestFit="1" customWidth="1"/>
    <col min="22" max="22" width="13.21875" bestFit="1" customWidth="1"/>
    <col min="23" max="23" width="18.33203125" bestFit="1" customWidth="1"/>
    <col min="24" max="24" width="9.33203125" bestFit="1" customWidth="1"/>
    <col min="25" max="25" width="13.77734375" bestFit="1" customWidth="1"/>
    <col min="26" max="26" width="20.109375" bestFit="1" customWidth="1"/>
    <col min="27" max="27" width="10.33203125" bestFit="1" customWidth="1"/>
    <col min="28" max="28" width="10.88671875" bestFit="1" customWidth="1"/>
    <col min="29" max="29" width="15" bestFit="1" customWidth="1"/>
    <col min="30" max="30" width="12.109375" bestFit="1" customWidth="1"/>
    <col min="31" max="31" width="13.44140625" bestFit="1" customWidth="1"/>
    <col min="32" max="32" width="11.6640625" bestFit="1" customWidth="1"/>
    <col min="33" max="33" width="14.44140625" bestFit="1" customWidth="1"/>
    <col min="34" max="34" width="13.21875" bestFit="1" customWidth="1"/>
    <col min="35" max="35" width="18.33203125" bestFit="1" customWidth="1"/>
    <col min="36" max="36" width="9.33203125" bestFit="1" customWidth="1"/>
    <col min="37" max="37" width="13.77734375" bestFit="1" customWidth="1"/>
    <col min="38" max="38" width="28.5546875" bestFit="1" customWidth="1"/>
    <col min="39" max="39" width="28.77734375" bestFit="1" customWidth="1"/>
    <col min="40" max="40" width="24.88671875" bestFit="1" customWidth="1"/>
  </cols>
  <sheetData>
    <row r="1" spans="1:40" x14ac:dyDescent="0.3">
      <c r="A1" s="15" t="s">
        <v>7</v>
      </c>
      <c r="B1" t="s">
        <v>97</v>
      </c>
    </row>
    <row r="3" spans="1:40" x14ac:dyDescent="0.3">
      <c r="B3" s="15" t="s">
        <v>96</v>
      </c>
    </row>
    <row r="4" spans="1:40" x14ac:dyDescent="0.3">
      <c r="B4" t="s">
        <v>112</v>
      </c>
      <c r="N4" t="s">
        <v>113</v>
      </c>
      <c r="Z4" t="s">
        <v>114</v>
      </c>
      <c r="AL4" t="s">
        <v>116</v>
      </c>
      <c r="AM4" t="s">
        <v>115</v>
      </c>
      <c r="AN4" t="s">
        <v>118</v>
      </c>
    </row>
    <row r="5" spans="1:40" x14ac:dyDescent="0.3">
      <c r="A5" s="15" t="s">
        <v>94</v>
      </c>
      <c r="B5" t="s">
        <v>22</v>
      </c>
      <c r="C5" t="s">
        <v>53</v>
      </c>
      <c r="D5" t="s">
        <v>55</v>
      </c>
      <c r="E5" t="s">
        <v>63</v>
      </c>
      <c r="F5" t="s">
        <v>31</v>
      </c>
      <c r="G5" t="s">
        <v>65</v>
      </c>
      <c r="H5" t="s">
        <v>46</v>
      </c>
      <c r="I5" t="s">
        <v>58</v>
      </c>
      <c r="J5" t="s">
        <v>15</v>
      </c>
      <c r="K5" t="s">
        <v>60</v>
      </c>
      <c r="L5" t="s">
        <v>44</v>
      </c>
      <c r="M5" t="s">
        <v>27</v>
      </c>
      <c r="N5" t="s">
        <v>22</v>
      </c>
      <c r="O5" t="s">
        <v>53</v>
      </c>
      <c r="P5" t="s">
        <v>55</v>
      </c>
      <c r="Q5" t="s">
        <v>63</v>
      </c>
      <c r="R5" t="s">
        <v>31</v>
      </c>
      <c r="S5" t="s">
        <v>65</v>
      </c>
      <c r="T5" t="s">
        <v>46</v>
      </c>
      <c r="U5" t="s">
        <v>58</v>
      </c>
      <c r="V5" t="s">
        <v>15</v>
      </c>
      <c r="W5" t="s">
        <v>60</v>
      </c>
      <c r="X5" t="s">
        <v>44</v>
      </c>
      <c r="Y5" t="s">
        <v>27</v>
      </c>
      <c r="Z5" t="s">
        <v>22</v>
      </c>
      <c r="AA5" t="s">
        <v>53</v>
      </c>
      <c r="AB5" t="s">
        <v>55</v>
      </c>
      <c r="AC5" t="s">
        <v>63</v>
      </c>
      <c r="AD5" t="s">
        <v>31</v>
      </c>
      <c r="AE5" t="s">
        <v>65</v>
      </c>
      <c r="AF5" t="s">
        <v>46</v>
      </c>
      <c r="AG5" t="s">
        <v>58</v>
      </c>
      <c r="AH5" t="s">
        <v>15</v>
      </c>
      <c r="AI5" t="s">
        <v>60</v>
      </c>
      <c r="AJ5" t="s">
        <v>44</v>
      </c>
      <c r="AK5" t="s">
        <v>27</v>
      </c>
    </row>
    <row r="6" spans="1:40" x14ac:dyDescent="0.3">
      <c r="A6" s="16" t="s">
        <v>36</v>
      </c>
      <c r="B6">
        <v>114.51</v>
      </c>
      <c r="C6">
        <v>315.59000000000003</v>
      </c>
      <c r="D6">
        <v>259.20999999999998</v>
      </c>
      <c r="E6">
        <v>439.34999999999997</v>
      </c>
      <c r="F6">
        <v>385.86999999999995</v>
      </c>
      <c r="G6">
        <v>150.30000000000001</v>
      </c>
      <c r="H6">
        <v>220.46</v>
      </c>
      <c r="I6">
        <v>200.10000000000002</v>
      </c>
      <c r="J6">
        <v>334.76</v>
      </c>
      <c r="K6">
        <v>66.38</v>
      </c>
      <c r="L6">
        <v>83.05</v>
      </c>
      <c r="M6">
        <v>236.68</v>
      </c>
      <c r="N6">
        <v>72.23</v>
      </c>
      <c r="O6">
        <v>150.46</v>
      </c>
      <c r="P6">
        <v>128.43</v>
      </c>
      <c r="Q6">
        <v>34.89</v>
      </c>
      <c r="R6">
        <v>281.82</v>
      </c>
      <c r="S6">
        <v>42.15</v>
      </c>
      <c r="T6">
        <v>62.550000000000004</v>
      </c>
      <c r="U6">
        <v>78.37</v>
      </c>
      <c r="V6">
        <v>146.17000000000002</v>
      </c>
      <c r="W6">
        <v>27.59</v>
      </c>
      <c r="X6">
        <v>10.17</v>
      </c>
      <c r="Y6">
        <v>152.43</v>
      </c>
      <c r="Z6">
        <v>9.1</v>
      </c>
      <c r="AA6">
        <v>16.099999999999998</v>
      </c>
      <c r="AB6">
        <v>12.3</v>
      </c>
      <c r="AC6">
        <v>5.0000000000000009</v>
      </c>
      <c r="AD6">
        <v>28.799999999999997</v>
      </c>
      <c r="AE6">
        <v>4</v>
      </c>
      <c r="AF6">
        <v>8.1</v>
      </c>
      <c r="AG6">
        <v>7.5</v>
      </c>
      <c r="AH6">
        <v>16.099999999999998</v>
      </c>
      <c r="AI6">
        <v>3.9</v>
      </c>
      <c r="AJ6">
        <v>2</v>
      </c>
      <c r="AK6">
        <v>14.400000000000002</v>
      </c>
      <c r="AL6">
        <v>2806.2599999999998</v>
      </c>
      <c r="AM6">
        <v>1187.26</v>
      </c>
      <c r="AN6">
        <v>127.3</v>
      </c>
    </row>
    <row r="7" spans="1:40" x14ac:dyDescent="0.3">
      <c r="A7" s="16" t="s">
        <v>23</v>
      </c>
      <c r="B7">
        <v>114.9</v>
      </c>
      <c r="C7">
        <v>369.75</v>
      </c>
      <c r="D7">
        <v>149.38</v>
      </c>
      <c r="E7">
        <v>201.82</v>
      </c>
      <c r="F7">
        <v>94.64</v>
      </c>
      <c r="G7">
        <v>136.74</v>
      </c>
      <c r="H7">
        <v>167.05</v>
      </c>
      <c r="I7">
        <v>289.32</v>
      </c>
      <c r="J7">
        <v>450.46000000000004</v>
      </c>
      <c r="K7">
        <v>336.38</v>
      </c>
      <c r="L7">
        <v>364.29</v>
      </c>
      <c r="M7">
        <v>136.35</v>
      </c>
      <c r="N7">
        <v>63.71</v>
      </c>
      <c r="O7">
        <v>203.20999999999998</v>
      </c>
      <c r="P7">
        <v>40.25</v>
      </c>
      <c r="Q7">
        <v>76.989999999999995</v>
      </c>
      <c r="R7">
        <v>1.79</v>
      </c>
      <c r="S7">
        <v>47.75</v>
      </c>
      <c r="T7">
        <v>114.21000000000001</v>
      </c>
      <c r="U7">
        <v>92.72999999999999</v>
      </c>
      <c r="V7">
        <v>128.59</v>
      </c>
      <c r="W7">
        <v>132.52000000000001</v>
      </c>
      <c r="X7">
        <v>104.53999999999999</v>
      </c>
      <c r="Y7">
        <v>52.25</v>
      </c>
      <c r="Z7">
        <v>5.1999999999999993</v>
      </c>
      <c r="AA7">
        <v>21.3</v>
      </c>
      <c r="AB7">
        <v>4.0999999999999996</v>
      </c>
      <c r="AC7">
        <v>9.6999999999999993</v>
      </c>
      <c r="AD7">
        <v>0.6</v>
      </c>
      <c r="AE7">
        <v>6.7</v>
      </c>
      <c r="AF7">
        <v>11.2</v>
      </c>
      <c r="AG7">
        <v>11.299999999999999</v>
      </c>
      <c r="AH7">
        <v>11.499999999999998</v>
      </c>
      <c r="AI7">
        <v>15.700000000000003</v>
      </c>
      <c r="AJ7">
        <v>13</v>
      </c>
      <c r="AK7">
        <v>6.8</v>
      </c>
      <c r="AL7">
        <v>2811.08</v>
      </c>
      <c r="AM7">
        <v>1058.54</v>
      </c>
      <c r="AN7">
        <v>117.1</v>
      </c>
    </row>
    <row r="8" spans="1:40" x14ac:dyDescent="0.3">
      <c r="A8" s="16" t="s">
        <v>106</v>
      </c>
    </row>
    <row r="9" spans="1:40" x14ac:dyDescent="0.3">
      <c r="A9" s="16" t="s">
        <v>107</v>
      </c>
    </row>
    <row r="10" spans="1:40" x14ac:dyDescent="0.3">
      <c r="A10" s="16" t="s">
        <v>108</v>
      </c>
    </row>
    <row r="11" spans="1:40" x14ac:dyDescent="0.3">
      <c r="A11" s="16" t="s">
        <v>109</v>
      </c>
    </row>
    <row r="12" spans="1:40" x14ac:dyDescent="0.3">
      <c r="A12" s="16" t="s">
        <v>110</v>
      </c>
    </row>
    <row r="13" spans="1:40" x14ac:dyDescent="0.3">
      <c r="A13" s="16" t="s">
        <v>111</v>
      </c>
    </row>
    <row r="14" spans="1:40" x14ac:dyDescent="0.3">
      <c r="A14" s="16" t="s">
        <v>39</v>
      </c>
      <c r="B14">
        <v>178.56</v>
      </c>
      <c r="C14">
        <v>404.2</v>
      </c>
      <c r="D14">
        <v>88.39</v>
      </c>
      <c r="E14">
        <v>273.64</v>
      </c>
      <c r="F14">
        <v>206.62</v>
      </c>
      <c r="G14">
        <v>132.59</v>
      </c>
      <c r="H14">
        <v>151.01</v>
      </c>
      <c r="I14">
        <v>92.73</v>
      </c>
      <c r="J14">
        <v>155.64999999999998</v>
      </c>
      <c r="K14">
        <v>239.32</v>
      </c>
      <c r="L14">
        <v>219.35</v>
      </c>
      <c r="M14">
        <v>368.09999999999997</v>
      </c>
      <c r="N14">
        <v>13.04</v>
      </c>
      <c r="O14">
        <v>266.65000000000003</v>
      </c>
      <c r="P14">
        <v>8.93</v>
      </c>
      <c r="Q14">
        <v>113.41</v>
      </c>
      <c r="R14">
        <v>68.81</v>
      </c>
      <c r="S14">
        <v>56.730000000000004</v>
      </c>
      <c r="T14">
        <v>30.87</v>
      </c>
      <c r="U14">
        <v>7.27</v>
      </c>
      <c r="V14">
        <v>131.07999999999998</v>
      </c>
      <c r="W14">
        <v>43.74</v>
      </c>
      <c r="X14">
        <v>67.349999999999994</v>
      </c>
      <c r="Y14">
        <v>87.85</v>
      </c>
      <c r="Z14">
        <v>2</v>
      </c>
      <c r="AA14">
        <v>25.400000000000002</v>
      </c>
      <c r="AB14">
        <v>1.3</v>
      </c>
      <c r="AC14">
        <v>11.3</v>
      </c>
      <c r="AD14">
        <v>7.4</v>
      </c>
      <c r="AE14">
        <v>5.9</v>
      </c>
      <c r="AF14">
        <v>3.5</v>
      </c>
      <c r="AG14">
        <v>0.8</v>
      </c>
      <c r="AH14">
        <v>13</v>
      </c>
      <c r="AI14">
        <v>6</v>
      </c>
      <c r="AJ14">
        <v>7.8000000000000007</v>
      </c>
      <c r="AK14">
        <v>11.500000000000002</v>
      </c>
      <c r="AL14">
        <v>2510.16</v>
      </c>
      <c r="AM14">
        <v>895.73</v>
      </c>
      <c r="AN14">
        <v>95.899999999999991</v>
      </c>
    </row>
    <row r="15" spans="1:40" x14ac:dyDescent="0.3">
      <c r="A15" s="16" t="s">
        <v>16</v>
      </c>
      <c r="B15">
        <v>499.57</v>
      </c>
      <c r="C15">
        <v>264.05999999999995</v>
      </c>
      <c r="D15">
        <v>296.95</v>
      </c>
      <c r="F15">
        <v>293.21999999999997</v>
      </c>
      <c r="G15">
        <v>274.8</v>
      </c>
      <c r="H15">
        <v>246.55</v>
      </c>
      <c r="I15">
        <v>470.11999999999995</v>
      </c>
      <c r="J15">
        <v>561.29999999999995</v>
      </c>
      <c r="K15">
        <v>218.14</v>
      </c>
      <c r="L15">
        <v>152.65</v>
      </c>
      <c r="M15">
        <v>477.10999999999996</v>
      </c>
      <c r="N15">
        <v>75.009999999999991</v>
      </c>
      <c r="O15">
        <v>108.58</v>
      </c>
      <c r="P15">
        <v>78.899999999999991</v>
      </c>
      <c r="R15">
        <v>98.050000000000011</v>
      </c>
      <c r="S15">
        <v>96.54</v>
      </c>
      <c r="T15">
        <v>135.01</v>
      </c>
      <c r="U15">
        <v>203.83999999999997</v>
      </c>
      <c r="V15">
        <v>209.78000000000003</v>
      </c>
      <c r="W15">
        <v>151.29</v>
      </c>
      <c r="X15">
        <v>42.120000000000005</v>
      </c>
      <c r="Y15">
        <v>184.04999999999998</v>
      </c>
      <c r="Z15">
        <v>9.5</v>
      </c>
      <c r="AA15">
        <v>11.9</v>
      </c>
      <c r="AB15">
        <v>10.199999999999999</v>
      </c>
      <c r="AD15">
        <v>10.8</v>
      </c>
      <c r="AE15">
        <v>11.5</v>
      </c>
      <c r="AF15">
        <v>15.5</v>
      </c>
      <c r="AG15">
        <v>22.799999999999997</v>
      </c>
      <c r="AH15">
        <v>24.1</v>
      </c>
      <c r="AI15">
        <v>19</v>
      </c>
      <c r="AJ15">
        <v>4.7</v>
      </c>
      <c r="AK15">
        <v>23.5</v>
      </c>
      <c r="AL15">
        <v>3754.47</v>
      </c>
      <c r="AM15">
        <v>1383.1699999999998</v>
      </c>
      <c r="AN15">
        <v>163.5</v>
      </c>
    </row>
    <row r="16" spans="1:40" x14ac:dyDescent="0.3">
      <c r="A16" s="16" t="s">
        <v>41</v>
      </c>
      <c r="B16">
        <v>340.80999999999995</v>
      </c>
      <c r="C16">
        <v>302.97000000000003</v>
      </c>
      <c r="D16">
        <v>588.69000000000005</v>
      </c>
      <c r="E16">
        <v>119.38</v>
      </c>
      <c r="F16">
        <v>244.26</v>
      </c>
      <c r="G16">
        <v>234.66</v>
      </c>
      <c r="H16">
        <v>237.73000000000002</v>
      </c>
      <c r="I16">
        <v>116.22</v>
      </c>
      <c r="J16">
        <v>521.65000000000009</v>
      </c>
      <c r="K16">
        <v>195.8</v>
      </c>
      <c r="L16">
        <v>218.70000000000002</v>
      </c>
      <c r="M16">
        <v>626.25</v>
      </c>
      <c r="N16">
        <v>129.99</v>
      </c>
      <c r="O16">
        <v>83.97</v>
      </c>
      <c r="P16">
        <v>68.63</v>
      </c>
      <c r="Q16">
        <v>59.86</v>
      </c>
      <c r="R16">
        <v>132.02000000000001</v>
      </c>
      <c r="S16">
        <v>44.730000000000004</v>
      </c>
      <c r="T16">
        <v>51.84</v>
      </c>
      <c r="U16">
        <v>68.33</v>
      </c>
      <c r="V16">
        <v>337.52000000000004</v>
      </c>
      <c r="W16">
        <v>95.99</v>
      </c>
      <c r="X16">
        <v>155.25</v>
      </c>
      <c r="Y16">
        <v>226.23000000000002</v>
      </c>
      <c r="Z16">
        <v>12.6</v>
      </c>
      <c r="AA16">
        <v>6.6000000000000005</v>
      </c>
      <c r="AB16">
        <v>10.1</v>
      </c>
      <c r="AC16">
        <v>6.8</v>
      </c>
      <c r="AD16">
        <v>12.8</v>
      </c>
      <c r="AE16">
        <v>6.1999999999999993</v>
      </c>
      <c r="AF16">
        <v>5.6</v>
      </c>
      <c r="AG16">
        <v>7.6</v>
      </c>
      <c r="AH16">
        <v>35.099999999999994</v>
      </c>
      <c r="AI16">
        <v>10.7</v>
      </c>
      <c r="AJ16">
        <v>19.600000000000001</v>
      </c>
      <c r="AK16">
        <v>24.2</v>
      </c>
      <c r="AL16">
        <v>3747.12</v>
      </c>
      <c r="AM16">
        <v>1454.3600000000001</v>
      </c>
      <c r="AN16">
        <v>157.89999999999998</v>
      </c>
    </row>
    <row r="17" spans="1:40" x14ac:dyDescent="0.3">
      <c r="A17" s="16" t="s">
        <v>32</v>
      </c>
      <c r="B17">
        <v>238.26000000000002</v>
      </c>
      <c r="C17">
        <v>152.41</v>
      </c>
      <c r="D17">
        <v>172.35000000000002</v>
      </c>
      <c r="E17">
        <v>141.06</v>
      </c>
      <c r="F17">
        <v>158.76</v>
      </c>
      <c r="G17">
        <v>377.53999999999996</v>
      </c>
      <c r="H17">
        <v>409.38</v>
      </c>
      <c r="I17">
        <v>310.39</v>
      </c>
      <c r="J17">
        <v>124.99000000000001</v>
      </c>
      <c r="K17">
        <v>79.41</v>
      </c>
      <c r="L17">
        <v>148.91</v>
      </c>
      <c r="M17">
        <v>244.33999999999997</v>
      </c>
      <c r="N17">
        <v>43.14</v>
      </c>
      <c r="O17">
        <v>44.21</v>
      </c>
      <c r="P17">
        <v>25.71</v>
      </c>
      <c r="Q17">
        <v>50.870000000000005</v>
      </c>
      <c r="R17">
        <v>31.17</v>
      </c>
      <c r="S17">
        <v>97.98</v>
      </c>
      <c r="T17">
        <v>160.01</v>
      </c>
      <c r="U17">
        <v>155.30000000000001</v>
      </c>
      <c r="V17">
        <v>65.78</v>
      </c>
      <c r="W17">
        <v>11.76</v>
      </c>
      <c r="X17">
        <v>43.89</v>
      </c>
      <c r="Y17">
        <v>39.39</v>
      </c>
      <c r="Z17">
        <v>4</v>
      </c>
      <c r="AA17">
        <v>4.5</v>
      </c>
      <c r="AB17">
        <v>2.9000000000000004</v>
      </c>
      <c r="AC17">
        <v>5.0999999999999996</v>
      </c>
      <c r="AD17">
        <v>2.9</v>
      </c>
      <c r="AE17">
        <v>12.5</v>
      </c>
      <c r="AF17">
        <v>18.7</v>
      </c>
      <c r="AG17">
        <v>17.099999999999998</v>
      </c>
      <c r="AH17">
        <v>7.2</v>
      </c>
      <c r="AI17">
        <v>2.1</v>
      </c>
      <c r="AJ17">
        <v>5.5</v>
      </c>
      <c r="AK17">
        <v>5</v>
      </c>
      <c r="AL17">
        <v>2557.7999999999993</v>
      </c>
      <c r="AM17">
        <v>769.21</v>
      </c>
      <c r="AN17">
        <v>87.499999999999986</v>
      </c>
    </row>
    <row r="18" spans="1:40" x14ac:dyDescent="0.3">
      <c r="A18" s="16" t="s">
        <v>47</v>
      </c>
      <c r="B18">
        <v>96.92</v>
      </c>
      <c r="C18">
        <v>196.67000000000002</v>
      </c>
      <c r="D18">
        <v>81.48</v>
      </c>
      <c r="E18">
        <v>217.95</v>
      </c>
      <c r="F18">
        <v>164.13</v>
      </c>
      <c r="G18">
        <v>589.18000000000006</v>
      </c>
      <c r="H18">
        <v>253.56</v>
      </c>
      <c r="I18">
        <v>167.29000000000002</v>
      </c>
      <c r="J18">
        <v>250.41</v>
      </c>
      <c r="K18">
        <v>248.79999999999998</v>
      </c>
      <c r="L18">
        <v>135.76</v>
      </c>
      <c r="M18">
        <v>204.83999999999997</v>
      </c>
      <c r="N18">
        <v>0</v>
      </c>
      <c r="O18">
        <v>79.37</v>
      </c>
      <c r="P18">
        <v>13.89</v>
      </c>
      <c r="Q18">
        <v>74.760000000000005</v>
      </c>
      <c r="R18">
        <v>29.619999999999997</v>
      </c>
      <c r="S18">
        <v>276.04000000000002</v>
      </c>
      <c r="T18">
        <v>130.59</v>
      </c>
      <c r="U18">
        <v>18.829999999999998</v>
      </c>
      <c r="V18">
        <v>37.33</v>
      </c>
      <c r="W18">
        <v>128.59</v>
      </c>
      <c r="X18">
        <v>54.55</v>
      </c>
      <c r="Y18">
        <v>70.949999999999989</v>
      </c>
      <c r="Z18">
        <v>0.2</v>
      </c>
      <c r="AA18">
        <v>9.5</v>
      </c>
      <c r="AB18">
        <v>2</v>
      </c>
      <c r="AC18">
        <v>8.8999999999999986</v>
      </c>
      <c r="AD18">
        <v>2.2999999999999998</v>
      </c>
      <c r="AE18">
        <v>27.900000000000002</v>
      </c>
      <c r="AF18">
        <v>15.100000000000001</v>
      </c>
      <c r="AG18">
        <v>3.1</v>
      </c>
      <c r="AH18">
        <v>4.0999999999999996</v>
      </c>
      <c r="AI18">
        <v>13.8</v>
      </c>
      <c r="AJ18">
        <v>5.7</v>
      </c>
      <c r="AK18">
        <v>8.6</v>
      </c>
      <c r="AL18">
        <v>2606.9899999999998</v>
      </c>
      <c r="AM18">
        <v>914.52000000000021</v>
      </c>
      <c r="AN18">
        <v>101.19999999999999</v>
      </c>
    </row>
    <row r="19" spans="1:40" x14ac:dyDescent="0.3">
      <c r="A19" s="16" t="s">
        <v>119</v>
      </c>
    </row>
    <row r="20" spans="1:40" x14ac:dyDescent="0.3">
      <c r="A20" s="16" t="s">
        <v>120</v>
      </c>
    </row>
    <row r="21" spans="1:40" x14ac:dyDescent="0.3">
      <c r="A21" s="16" t="s">
        <v>121</v>
      </c>
    </row>
    <row r="22" spans="1:40" x14ac:dyDescent="0.3">
      <c r="A22" s="16" t="s">
        <v>122</v>
      </c>
    </row>
    <row r="23" spans="1:40" x14ac:dyDescent="0.3">
      <c r="A23" s="16" t="s">
        <v>123</v>
      </c>
    </row>
    <row r="24" spans="1:40" x14ac:dyDescent="0.3">
      <c r="A24" s="16" t="s">
        <v>95</v>
      </c>
      <c r="B24">
        <v>1583.53</v>
      </c>
      <c r="C24">
        <v>2005.65</v>
      </c>
      <c r="D24">
        <v>1636.4499999999998</v>
      </c>
      <c r="E24">
        <v>1393.2</v>
      </c>
      <c r="F24">
        <v>1547.5</v>
      </c>
      <c r="G24">
        <v>1895.8100000000002</v>
      </c>
      <c r="H24">
        <v>1685.7399999999998</v>
      </c>
      <c r="I24">
        <v>1646.17</v>
      </c>
      <c r="J24">
        <v>2399.2200000000003</v>
      </c>
      <c r="K24">
        <v>1384.23</v>
      </c>
      <c r="L24">
        <v>1322.71</v>
      </c>
      <c r="M24">
        <v>2293.67</v>
      </c>
      <c r="N24">
        <v>397.12</v>
      </c>
      <c r="O24">
        <v>936.45</v>
      </c>
      <c r="P24">
        <v>364.73999999999995</v>
      </c>
      <c r="Q24">
        <v>410.78</v>
      </c>
      <c r="R24">
        <v>643.28</v>
      </c>
      <c r="S24">
        <v>661.92000000000007</v>
      </c>
      <c r="T24">
        <v>685.08</v>
      </c>
      <c r="U24">
        <v>624.66999999999996</v>
      </c>
      <c r="V24">
        <v>1056.25</v>
      </c>
      <c r="W24">
        <v>591.48</v>
      </c>
      <c r="X24">
        <v>477.87</v>
      </c>
      <c r="Y24">
        <v>813.14999999999986</v>
      </c>
      <c r="Z24">
        <v>42.6</v>
      </c>
      <c r="AA24">
        <v>95.3</v>
      </c>
      <c r="AB24">
        <v>42.9</v>
      </c>
      <c r="AC24">
        <v>46.8</v>
      </c>
      <c r="AD24">
        <v>65.599999999999994</v>
      </c>
      <c r="AE24">
        <v>74.7</v>
      </c>
      <c r="AF24">
        <v>77.699999999999989</v>
      </c>
      <c r="AG24">
        <v>70.199999999999989</v>
      </c>
      <c r="AH24">
        <v>111.09999999999998</v>
      </c>
      <c r="AI24">
        <v>71.2</v>
      </c>
      <c r="AJ24">
        <v>58.300000000000004</v>
      </c>
      <c r="AK24">
        <v>94</v>
      </c>
      <c r="AL24">
        <v>20793.879999999997</v>
      </c>
      <c r="AM24">
        <v>7662.79</v>
      </c>
      <c r="AN24">
        <v>850.39999999999986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BBE25-E767-4836-9011-BC87E54981B7}">
  <dimension ref="A1:B16"/>
  <sheetViews>
    <sheetView topLeftCell="A22" zoomScale="68" zoomScaleNormal="68" workbookViewId="0">
      <selection activeCell="A9" sqref="A9"/>
    </sheetView>
  </sheetViews>
  <sheetFormatPr defaultRowHeight="14.4" x14ac:dyDescent="0.3"/>
  <cols>
    <col min="1" max="1" width="17.6640625" bestFit="1" customWidth="1"/>
    <col min="2" max="2" width="23.77734375" bestFit="1" customWidth="1"/>
    <col min="3" max="8" width="6" bestFit="1" customWidth="1"/>
    <col min="9" max="9" width="10.44140625" customWidth="1"/>
    <col min="10" max="19" width="6" bestFit="1" customWidth="1"/>
    <col min="20" max="20" width="3" bestFit="1" customWidth="1"/>
    <col min="21" max="26" width="6" bestFit="1" customWidth="1"/>
    <col min="27" max="27" width="5" bestFit="1" customWidth="1"/>
    <col min="28" max="45" width="6" bestFit="1" customWidth="1"/>
    <col min="46" max="46" width="5" bestFit="1" customWidth="1"/>
    <col min="47" max="47" width="6" bestFit="1" customWidth="1"/>
    <col min="48" max="48" width="5" bestFit="1" customWidth="1"/>
    <col min="49" max="51" width="6" bestFit="1" customWidth="1"/>
    <col min="52" max="52" width="3" bestFit="1" customWidth="1"/>
    <col min="53" max="63" width="6" bestFit="1" customWidth="1"/>
    <col min="64" max="64" width="3" bestFit="1" customWidth="1"/>
    <col min="65" max="81" width="6" bestFit="1" customWidth="1"/>
    <col min="82" max="82" width="5" bestFit="1" customWidth="1"/>
    <col min="83" max="85" width="6" bestFit="1" customWidth="1"/>
    <col min="86" max="86" width="3" bestFit="1" customWidth="1"/>
    <col min="87" max="98" width="6" bestFit="1" customWidth="1"/>
    <col min="99" max="99" width="3" bestFit="1" customWidth="1"/>
    <col min="100" max="102" width="6" bestFit="1" customWidth="1"/>
    <col min="103" max="103" width="3" bestFit="1" customWidth="1"/>
    <col min="104" max="104" width="6" bestFit="1" customWidth="1"/>
    <col min="105" max="105" width="5" bestFit="1" customWidth="1"/>
    <col min="106" max="109" width="6" bestFit="1" customWidth="1"/>
    <col min="110" max="110" width="5" bestFit="1" customWidth="1"/>
    <col min="111" max="137" width="6" bestFit="1" customWidth="1"/>
    <col min="138" max="138" width="5" bestFit="1" customWidth="1"/>
    <col min="139" max="140" width="6" bestFit="1" customWidth="1"/>
    <col min="141" max="141" width="3" bestFit="1" customWidth="1"/>
    <col min="142" max="148" width="6" bestFit="1" customWidth="1"/>
    <col min="149" max="149" width="5" bestFit="1" customWidth="1"/>
    <col min="150" max="152" width="6" bestFit="1" customWidth="1"/>
    <col min="153" max="153" width="5" bestFit="1" customWidth="1"/>
    <col min="154" max="166" width="6" bestFit="1" customWidth="1"/>
    <col min="167" max="167" width="3" bestFit="1" customWidth="1"/>
    <col min="168" max="182" width="6" bestFit="1" customWidth="1"/>
    <col min="183" max="183" width="5" bestFit="1" customWidth="1"/>
    <col min="184" max="194" width="6" bestFit="1" customWidth="1"/>
    <col min="195" max="195" width="3" bestFit="1" customWidth="1"/>
    <col min="196" max="196" width="5" bestFit="1" customWidth="1"/>
    <col min="197" max="199" width="6" bestFit="1" customWidth="1"/>
    <col min="200" max="200" width="5" bestFit="1" customWidth="1"/>
    <col min="201" max="218" width="6" bestFit="1" customWidth="1"/>
    <col min="219" max="219" width="3" bestFit="1" customWidth="1"/>
    <col min="220" max="227" width="6" bestFit="1" customWidth="1"/>
    <col min="228" max="228" width="5" bestFit="1" customWidth="1"/>
    <col min="229" max="235" width="6" bestFit="1" customWidth="1"/>
    <col min="236" max="236" width="5" bestFit="1" customWidth="1"/>
    <col min="237" max="237" width="3" bestFit="1" customWidth="1"/>
    <col min="238" max="245" width="6" bestFit="1" customWidth="1"/>
    <col min="246" max="246" width="5" bestFit="1" customWidth="1"/>
    <col min="247" max="247" width="6" bestFit="1" customWidth="1"/>
    <col min="248" max="248" width="3" bestFit="1" customWidth="1"/>
    <col min="249" max="253" width="6" bestFit="1" customWidth="1"/>
    <col min="254" max="257" width="5" bestFit="1" customWidth="1"/>
    <col min="258" max="259" width="6" bestFit="1" customWidth="1"/>
    <col min="260" max="260" width="5" bestFit="1" customWidth="1"/>
    <col min="261" max="263" width="6" bestFit="1" customWidth="1"/>
    <col min="264" max="264" width="3" bestFit="1" customWidth="1"/>
    <col min="265" max="267" width="6" bestFit="1" customWidth="1"/>
    <col min="268" max="268" width="5" bestFit="1" customWidth="1"/>
    <col min="269" max="274" width="6" bestFit="1" customWidth="1"/>
    <col min="275" max="275" width="5" bestFit="1" customWidth="1"/>
    <col min="276" max="280" width="6" bestFit="1" customWidth="1"/>
    <col min="281" max="281" width="3" bestFit="1" customWidth="1"/>
    <col min="282" max="283" width="6" bestFit="1" customWidth="1"/>
    <col min="284" max="284" width="4" bestFit="1" customWidth="1"/>
    <col min="285" max="285" width="10.77734375" bestFit="1" customWidth="1"/>
  </cols>
  <sheetData>
    <row r="1" spans="1:2" x14ac:dyDescent="0.3">
      <c r="A1" s="15" t="s">
        <v>3</v>
      </c>
      <c r="B1" t="s">
        <v>97</v>
      </c>
    </row>
    <row r="3" spans="1:2" x14ac:dyDescent="0.3">
      <c r="A3" s="15" t="s">
        <v>94</v>
      </c>
      <c r="B3" t="s">
        <v>112</v>
      </c>
    </row>
    <row r="4" spans="1:2" x14ac:dyDescent="0.3">
      <c r="A4" s="16" t="s">
        <v>22</v>
      </c>
      <c r="B4">
        <v>1583.5299999999997</v>
      </c>
    </row>
    <row r="5" spans="1:2" x14ac:dyDescent="0.3">
      <c r="A5" s="16" t="s">
        <v>53</v>
      </c>
      <c r="B5">
        <v>2005.6500000000005</v>
      </c>
    </row>
    <row r="6" spans="1:2" x14ac:dyDescent="0.3">
      <c r="A6" s="16" t="s">
        <v>55</v>
      </c>
      <c r="B6">
        <v>1636.45</v>
      </c>
    </row>
    <row r="7" spans="1:2" x14ac:dyDescent="0.3">
      <c r="A7" s="16" t="s">
        <v>63</v>
      </c>
      <c r="B7">
        <v>1393.2</v>
      </c>
    </row>
    <row r="8" spans="1:2" x14ac:dyDescent="0.3">
      <c r="A8" s="16" t="s">
        <v>31</v>
      </c>
      <c r="B8">
        <v>1547.5000000000005</v>
      </c>
    </row>
    <row r="9" spans="1:2" x14ac:dyDescent="0.3">
      <c r="A9" s="16" t="s">
        <v>65</v>
      </c>
      <c r="B9">
        <v>1895.8099999999997</v>
      </c>
    </row>
    <row r="10" spans="1:2" x14ac:dyDescent="0.3">
      <c r="A10" s="16" t="s">
        <v>46</v>
      </c>
      <c r="B10">
        <v>1685.7399999999998</v>
      </c>
    </row>
    <row r="11" spans="1:2" x14ac:dyDescent="0.3">
      <c r="A11" s="16" t="s">
        <v>58</v>
      </c>
      <c r="B11">
        <v>1646.17</v>
      </c>
    </row>
    <row r="12" spans="1:2" x14ac:dyDescent="0.3">
      <c r="A12" s="16" t="s">
        <v>15</v>
      </c>
      <c r="B12">
        <v>2399.2199999999998</v>
      </c>
    </row>
    <row r="13" spans="1:2" x14ac:dyDescent="0.3">
      <c r="A13" s="16" t="s">
        <v>60</v>
      </c>
      <c r="B13">
        <v>1384.2300000000002</v>
      </c>
    </row>
    <row r="14" spans="1:2" x14ac:dyDescent="0.3">
      <c r="A14" s="16" t="s">
        <v>44</v>
      </c>
      <c r="B14">
        <v>1322.7100000000003</v>
      </c>
    </row>
    <row r="15" spans="1:2" x14ac:dyDescent="0.3">
      <c r="A15" s="16" t="s">
        <v>27</v>
      </c>
      <c r="B15">
        <v>2293.67</v>
      </c>
    </row>
    <row r="16" spans="1:2" x14ac:dyDescent="0.3">
      <c r="A16" s="16" t="s">
        <v>95</v>
      </c>
      <c r="B16">
        <v>20793.879999999997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708E-5F50-4823-B577-ABDD2101347F}">
  <dimension ref="A1:C16"/>
  <sheetViews>
    <sheetView topLeftCell="B2" zoomScale="61" workbookViewId="0">
      <selection activeCell="A3" sqref="A3"/>
    </sheetView>
  </sheetViews>
  <sheetFormatPr defaultRowHeight="14.4" x14ac:dyDescent="0.3"/>
  <cols>
    <col min="1" max="1" width="20.88671875" bestFit="1" customWidth="1"/>
    <col min="2" max="2" width="32.33203125" bestFit="1" customWidth="1"/>
    <col min="3" max="3" width="28.33203125" bestFit="1" customWidth="1"/>
    <col min="4" max="4" width="12.44140625" bestFit="1" customWidth="1"/>
    <col min="5" max="5" width="8" bestFit="1" customWidth="1"/>
    <col min="6" max="6" width="10.88671875" bestFit="1" customWidth="1"/>
    <col min="7" max="7" width="7" bestFit="1" customWidth="1"/>
    <col min="8" max="8" width="9.33203125" bestFit="1" customWidth="1"/>
    <col min="9" max="9" width="20.109375" bestFit="1" customWidth="1"/>
    <col min="10" max="10" width="10.33203125" bestFit="1" customWidth="1"/>
    <col min="11" max="11" width="12.44140625" bestFit="1" customWidth="1"/>
    <col min="12" max="12" width="6" bestFit="1" customWidth="1"/>
    <col min="13" max="13" width="10.88671875" bestFit="1" customWidth="1"/>
    <col min="14" max="14" width="5" bestFit="1" customWidth="1"/>
    <col min="15" max="15" width="9.33203125" bestFit="1" customWidth="1"/>
    <col min="16" max="16" width="28.5546875" bestFit="1" customWidth="1"/>
    <col min="17" max="17" width="24.88671875" bestFit="1" customWidth="1"/>
  </cols>
  <sheetData>
    <row r="1" spans="1:3" x14ac:dyDescent="0.3">
      <c r="A1" s="15" t="s">
        <v>2</v>
      </c>
      <c r="B1" t="s" vm="1">
        <v>47</v>
      </c>
    </row>
    <row r="3" spans="1:3" x14ac:dyDescent="0.3">
      <c r="A3" s="15" t="s">
        <v>94</v>
      </c>
      <c r="B3" t="s">
        <v>112</v>
      </c>
      <c r="C3" t="s">
        <v>114</v>
      </c>
    </row>
    <row r="4" spans="1:3" x14ac:dyDescent="0.3">
      <c r="A4" s="16" t="s">
        <v>22</v>
      </c>
      <c r="B4">
        <v>96.92</v>
      </c>
      <c r="C4">
        <v>0.2</v>
      </c>
    </row>
    <row r="5" spans="1:3" x14ac:dyDescent="0.3">
      <c r="A5" s="16" t="s">
        <v>53</v>
      </c>
      <c r="B5">
        <v>196.67</v>
      </c>
      <c r="C5">
        <v>9.5</v>
      </c>
    </row>
    <row r="6" spans="1:3" x14ac:dyDescent="0.3">
      <c r="A6" s="16" t="s">
        <v>55</v>
      </c>
      <c r="B6">
        <v>81.48</v>
      </c>
      <c r="C6">
        <v>2</v>
      </c>
    </row>
    <row r="7" spans="1:3" x14ac:dyDescent="0.3">
      <c r="A7" s="16" t="s">
        <v>63</v>
      </c>
      <c r="B7">
        <v>217.95</v>
      </c>
      <c r="C7">
        <v>8.9</v>
      </c>
    </row>
    <row r="8" spans="1:3" x14ac:dyDescent="0.3">
      <c r="A8" s="16" t="s">
        <v>31</v>
      </c>
      <c r="B8">
        <v>164.13</v>
      </c>
      <c r="C8">
        <v>2.2999999999999998</v>
      </c>
    </row>
    <row r="9" spans="1:3" x14ac:dyDescent="0.3">
      <c r="A9" s="16" t="s">
        <v>65</v>
      </c>
      <c r="B9">
        <v>589.17999999999995</v>
      </c>
      <c r="C9">
        <v>27.9</v>
      </c>
    </row>
    <row r="10" spans="1:3" x14ac:dyDescent="0.3">
      <c r="A10" s="16" t="s">
        <v>46</v>
      </c>
      <c r="B10">
        <v>253.56</v>
      </c>
      <c r="C10">
        <v>15.1</v>
      </c>
    </row>
    <row r="11" spans="1:3" x14ac:dyDescent="0.3">
      <c r="A11" s="16" t="s">
        <v>58</v>
      </c>
      <c r="B11">
        <v>167.29</v>
      </c>
      <c r="C11">
        <v>3.1</v>
      </c>
    </row>
    <row r="12" spans="1:3" x14ac:dyDescent="0.3">
      <c r="A12" s="16" t="s">
        <v>15</v>
      </c>
      <c r="B12">
        <v>250.41</v>
      </c>
      <c r="C12">
        <v>4.0999999999999996</v>
      </c>
    </row>
    <row r="13" spans="1:3" x14ac:dyDescent="0.3">
      <c r="A13" s="16" t="s">
        <v>60</v>
      </c>
      <c r="B13">
        <v>248.8</v>
      </c>
      <c r="C13">
        <v>13.8</v>
      </c>
    </row>
    <row r="14" spans="1:3" x14ac:dyDescent="0.3">
      <c r="A14" s="16" t="s">
        <v>44</v>
      </c>
      <c r="B14">
        <v>135.76</v>
      </c>
      <c r="C14">
        <v>5.7</v>
      </c>
    </row>
    <row r="15" spans="1:3" x14ac:dyDescent="0.3">
      <c r="A15" s="16" t="s">
        <v>27</v>
      </c>
      <c r="B15">
        <v>204.84</v>
      </c>
      <c r="C15">
        <v>8.6</v>
      </c>
    </row>
    <row r="16" spans="1:3" x14ac:dyDescent="0.3">
      <c r="A16" s="16" t="s">
        <v>95</v>
      </c>
      <c r="B16">
        <v>2606.9899999999998</v>
      </c>
      <c r="C16">
        <v>101.2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369B-EE0B-4670-8E7E-F5EF6A77570E}">
  <dimension ref="A2:DJ13"/>
  <sheetViews>
    <sheetView topLeftCell="AP1" zoomScale="93" zoomScaleNormal="97" workbookViewId="0">
      <selection activeCell="B60" sqref="B60"/>
    </sheetView>
  </sheetViews>
  <sheetFormatPr defaultRowHeight="14.4" x14ac:dyDescent="0.3"/>
  <cols>
    <col min="1" max="1" width="13" bestFit="1" customWidth="1"/>
    <col min="2" max="2" width="23.88671875" bestFit="1" customWidth="1"/>
    <col min="3" max="3" width="13.109375" bestFit="1" customWidth="1"/>
    <col min="4" max="4" width="6.6640625" bestFit="1" customWidth="1"/>
    <col min="5" max="5" width="11.109375" bestFit="1" customWidth="1"/>
    <col min="6" max="7" width="11.109375" customWidth="1"/>
    <col min="8" max="8" width="100.21875" customWidth="1"/>
    <col min="9" max="9" width="13" bestFit="1" customWidth="1"/>
    <col min="10" max="10" width="20.109375" bestFit="1" customWidth="1"/>
    <col min="11" max="11" width="23.88671875" bestFit="1" customWidth="1"/>
    <col min="12" max="12" width="9.44140625" bestFit="1" customWidth="1"/>
    <col min="13" max="13" width="15.44140625" bestFit="1" customWidth="1"/>
    <col min="14" max="14" width="11" bestFit="1" customWidth="1"/>
    <col min="15" max="15" width="17.33203125" bestFit="1" customWidth="1"/>
    <col min="16" max="16" width="40.5546875" bestFit="1" customWidth="1"/>
    <col min="17" max="17" width="41.109375" bestFit="1" customWidth="1"/>
    <col min="18" max="18" width="8.88671875" customWidth="1"/>
    <col min="20" max="20" width="14.6640625" bestFit="1" customWidth="1"/>
    <col min="21" max="21" width="20.109375" bestFit="1" customWidth="1"/>
    <col min="22" max="22" width="14.6640625" bestFit="1" customWidth="1"/>
    <col min="23" max="23" width="16.109375" bestFit="1" customWidth="1"/>
    <col min="24" max="24" width="19.109375" bestFit="1" customWidth="1"/>
    <col min="25" max="25" width="15.44140625" bestFit="1" customWidth="1"/>
    <col min="26" max="26" width="4" bestFit="1" customWidth="1"/>
    <col min="27" max="27" width="9.33203125" bestFit="1" customWidth="1"/>
    <col min="28" max="28" width="10.88671875" bestFit="1" customWidth="1"/>
    <col min="30" max="30" width="24.21875" bestFit="1" customWidth="1"/>
    <col min="31" max="31" width="15.6640625" bestFit="1" customWidth="1"/>
    <col min="32" max="38" width="7.5546875" bestFit="1" customWidth="1"/>
    <col min="39" max="39" width="10.88671875" bestFit="1" customWidth="1"/>
    <col min="40" max="40" width="14.77734375" bestFit="1" customWidth="1"/>
    <col min="41" max="41" width="25.44140625" bestFit="1" customWidth="1"/>
    <col min="42" max="42" width="19.33203125" bestFit="1" customWidth="1"/>
    <col min="43" max="43" width="12.77734375" bestFit="1" customWidth="1"/>
    <col min="44" max="44" width="14.21875" bestFit="1" customWidth="1"/>
    <col min="45" max="45" width="10.88671875" bestFit="1" customWidth="1"/>
    <col min="46" max="46" width="14.21875" bestFit="1" customWidth="1"/>
    <col min="47" max="47" width="10.88671875" bestFit="1" customWidth="1"/>
    <col min="48" max="48" width="28.77734375" bestFit="1" customWidth="1"/>
    <col min="49" max="49" width="19.88671875" bestFit="1" customWidth="1"/>
    <col min="50" max="50" width="15.44140625" bestFit="1" customWidth="1"/>
    <col min="51" max="51" width="13.44140625" bestFit="1" customWidth="1"/>
    <col min="52" max="52" width="19.109375" bestFit="1" customWidth="1"/>
    <col min="53" max="53" width="27.44140625" bestFit="1" customWidth="1"/>
    <col min="54" max="54" width="24.77734375" bestFit="1" customWidth="1"/>
    <col min="55" max="55" width="13.44140625" bestFit="1" customWidth="1"/>
    <col min="56" max="56" width="19.109375" bestFit="1" customWidth="1"/>
    <col min="57" max="57" width="23.21875" bestFit="1" customWidth="1"/>
    <col min="58" max="58" width="24.77734375" bestFit="1" customWidth="1"/>
    <col min="59" max="59" width="19.109375" bestFit="1" customWidth="1"/>
    <col min="60" max="60" width="19.33203125" bestFit="1" customWidth="1"/>
    <col min="61" max="61" width="24.77734375" bestFit="1" customWidth="1"/>
    <col min="62" max="62" width="19.109375" bestFit="1" customWidth="1"/>
    <col min="63" max="63" width="29.88671875" bestFit="1" customWidth="1"/>
    <col min="64" max="64" width="24.77734375" bestFit="1" customWidth="1"/>
    <col min="65" max="65" width="13.44140625" bestFit="1" customWidth="1"/>
    <col min="66" max="66" width="19.109375" bestFit="1" customWidth="1"/>
    <col min="67" max="67" width="21" bestFit="1" customWidth="1"/>
    <col min="68" max="68" width="24.77734375" bestFit="1" customWidth="1"/>
    <col min="69" max="69" width="13.44140625" bestFit="1" customWidth="1"/>
    <col min="70" max="70" width="19.109375" bestFit="1" customWidth="1"/>
    <col min="71" max="71" width="15.44140625" bestFit="1" customWidth="1"/>
    <col min="72" max="78" width="12.21875" bestFit="1" customWidth="1"/>
    <col min="79" max="79" width="23.77734375" bestFit="1" customWidth="1"/>
    <col min="80" max="86" width="9.88671875" bestFit="1" customWidth="1"/>
    <col min="87" max="87" width="16.21875" bestFit="1" customWidth="1"/>
    <col min="88" max="94" width="12.21875" bestFit="1" customWidth="1"/>
    <col min="95" max="95" width="11" bestFit="1" customWidth="1"/>
    <col min="99" max="99" width="13" bestFit="1" customWidth="1"/>
    <col min="100" max="100" width="22.44140625" bestFit="1" customWidth="1"/>
    <col min="101" max="101" width="5.33203125" bestFit="1" customWidth="1"/>
    <col min="102" max="102" width="10.88671875" bestFit="1" customWidth="1"/>
    <col min="103" max="103" width="5.33203125" bestFit="1" customWidth="1"/>
    <col min="104" max="104" width="25.109375" bestFit="1" customWidth="1"/>
    <col min="105" max="105" width="5.33203125" bestFit="1" customWidth="1"/>
    <col min="106" max="106" width="10.88671875" bestFit="1" customWidth="1"/>
    <col min="107" max="107" width="4.33203125" bestFit="1" customWidth="1"/>
    <col min="108" max="108" width="22.5546875" bestFit="1" customWidth="1"/>
    <col min="109" max="109" width="5.33203125" bestFit="1" customWidth="1"/>
    <col min="110" max="110" width="10.88671875" bestFit="1" customWidth="1"/>
    <col min="111" max="111" width="4.33203125" bestFit="1" customWidth="1"/>
    <col min="112" max="112" width="27.21875" bestFit="1" customWidth="1"/>
    <col min="113" max="113" width="30" bestFit="1" customWidth="1"/>
    <col min="114" max="114" width="27.44140625" bestFit="1" customWidth="1"/>
    <col min="115" max="115" width="4.33203125" bestFit="1" customWidth="1"/>
    <col min="116" max="116" width="10.88671875" bestFit="1" customWidth="1"/>
    <col min="117" max="117" width="9.33203125" bestFit="1" customWidth="1"/>
    <col min="118" max="118" width="27.21875" bestFit="1" customWidth="1"/>
    <col min="119" max="119" width="30" bestFit="1" customWidth="1"/>
    <col min="120" max="120" width="27.44140625" bestFit="1" customWidth="1"/>
    <col min="121" max="121" width="27.21875" bestFit="1" customWidth="1"/>
    <col min="122" max="122" width="30" bestFit="1" customWidth="1"/>
    <col min="123" max="123" width="27.44140625" bestFit="1" customWidth="1"/>
  </cols>
  <sheetData>
    <row r="2" spans="1:114" x14ac:dyDescent="0.3">
      <c r="I2" s="15" t="s">
        <v>2</v>
      </c>
      <c r="J2" t="s" vm="4">
        <v>105</v>
      </c>
    </row>
    <row r="3" spans="1:114" x14ac:dyDescent="0.3">
      <c r="I3" s="15" t="s">
        <v>0</v>
      </c>
      <c r="J3" t="s" vm="3">
        <v>133</v>
      </c>
      <c r="AD3" s="15" t="s">
        <v>3</v>
      </c>
      <c r="AE3" t="s" vm="2">
        <v>133</v>
      </c>
    </row>
    <row r="4" spans="1:114" x14ac:dyDescent="0.3">
      <c r="A4" s="15" t="s">
        <v>94</v>
      </c>
      <c r="B4" t="s">
        <v>112</v>
      </c>
      <c r="T4" s="15" t="s">
        <v>94</v>
      </c>
      <c r="U4" t="s">
        <v>114</v>
      </c>
    </row>
    <row r="5" spans="1:114" x14ac:dyDescent="0.3">
      <c r="A5" s="16" t="s">
        <v>52</v>
      </c>
      <c r="B5" s="23">
        <v>623.76</v>
      </c>
      <c r="I5" s="15" t="s">
        <v>94</v>
      </c>
      <c r="J5" t="s">
        <v>114</v>
      </c>
      <c r="K5" t="s">
        <v>112</v>
      </c>
      <c r="T5" s="16" t="s">
        <v>39</v>
      </c>
      <c r="U5" s="23">
        <v>8.1999999999999993</v>
      </c>
      <c r="AD5" s="15" t="s">
        <v>113</v>
      </c>
      <c r="AE5" s="15" t="s">
        <v>96</v>
      </c>
      <c r="AO5" s="15" t="s">
        <v>141</v>
      </c>
      <c r="AP5" s="15" t="s">
        <v>96</v>
      </c>
      <c r="CV5" s="15" t="s">
        <v>96</v>
      </c>
    </row>
    <row r="6" spans="1:114" x14ac:dyDescent="0.3">
      <c r="A6" s="16" t="s">
        <v>54</v>
      </c>
      <c r="B6" s="23">
        <v>541.82000000000005</v>
      </c>
      <c r="I6" s="16" t="s">
        <v>53</v>
      </c>
      <c r="J6" s="23">
        <v>20.6</v>
      </c>
      <c r="K6" s="23">
        <v>623.76</v>
      </c>
      <c r="T6" s="16" t="s">
        <v>16</v>
      </c>
      <c r="U6" s="23">
        <v>14.8</v>
      </c>
      <c r="AD6" s="15" t="s">
        <v>94</v>
      </c>
      <c r="AE6" t="s">
        <v>50</v>
      </c>
      <c r="AF6" t="s">
        <v>19</v>
      </c>
      <c r="AG6" t="s">
        <v>29</v>
      </c>
      <c r="AH6" t="s">
        <v>24</v>
      </c>
      <c r="AI6" t="s">
        <v>38</v>
      </c>
      <c r="AJ6" t="s">
        <v>40</v>
      </c>
      <c r="AK6" t="s">
        <v>49</v>
      </c>
      <c r="AL6" t="s">
        <v>51</v>
      </c>
      <c r="AM6" t="s">
        <v>95</v>
      </c>
      <c r="AO6" s="15" t="s">
        <v>94</v>
      </c>
      <c r="AP6" t="s">
        <v>33</v>
      </c>
      <c r="AQ6" t="s">
        <v>61</v>
      </c>
      <c r="AR6" t="s">
        <v>48</v>
      </c>
      <c r="AS6" t="s">
        <v>95</v>
      </c>
      <c r="CV6" t="s">
        <v>132</v>
      </c>
      <c r="CZ6" t="s">
        <v>135</v>
      </c>
      <c r="DD6" t="s">
        <v>131</v>
      </c>
      <c r="DH6" t="s">
        <v>134</v>
      </c>
      <c r="DI6" t="s">
        <v>136</v>
      </c>
      <c r="DJ6" t="s">
        <v>137</v>
      </c>
    </row>
    <row r="7" spans="1:114" x14ac:dyDescent="0.3">
      <c r="A7" s="16" t="s">
        <v>95</v>
      </c>
      <c r="B7" s="23">
        <v>1165.58</v>
      </c>
      <c r="I7" s="16" t="s">
        <v>55</v>
      </c>
      <c r="J7" s="23">
        <v>15.3</v>
      </c>
      <c r="K7" s="23">
        <v>541.82000000000005</v>
      </c>
      <c r="T7" s="16" t="s">
        <v>41</v>
      </c>
      <c r="U7" s="23">
        <v>10.199999999999999</v>
      </c>
      <c r="AD7" s="16" t="s">
        <v>53</v>
      </c>
      <c r="AE7" s="23">
        <v>3.03</v>
      </c>
      <c r="AF7" s="23">
        <v>3.95</v>
      </c>
      <c r="AG7" s="23">
        <v>34.72</v>
      </c>
      <c r="AH7" s="23">
        <v>24.74</v>
      </c>
      <c r="AI7" s="23">
        <v>30.14</v>
      </c>
      <c r="AJ7" s="23">
        <v>62.28</v>
      </c>
      <c r="AK7" s="23">
        <v>38.36</v>
      </c>
      <c r="AL7" s="23">
        <v>22.95</v>
      </c>
      <c r="AM7" s="23">
        <v>220.17</v>
      </c>
      <c r="AO7" s="16" t="s">
        <v>35</v>
      </c>
      <c r="AP7" s="23"/>
      <c r="AQ7" s="23"/>
      <c r="AR7" s="23"/>
      <c r="AS7" s="23"/>
      <c r="CU7" s="15" t="s">
        <v>94</v>
      </c>
      <c r="CV7" t="s">
        <v>39</v>
      </c>
      <c r="CW7" t="s">
        <v>16</v>
      </c>
      <c r="CX7" t="s">
        <v>41</v>
      </c>
      <c r="CY7" t="s">
        <v>32</v>
      </c>
      <c r="CZ7" t="s">
        <v>39</v>
      </c>
      <c r="DA7" t="s">
        <v>16</v>
      </c>
      <c r="DB7" t="s">
        <v>41</v>
      </c>
      <c r="DC7" t="s">
        <v>32</v>
      </c>
      <c r="DD7" t="s">
        <v>39</v>
      </c>
      <c r="DE7" t="s">
        <v>16</v>
      </c>
      <c r="DF7" t="s">
        <v>41</v>
      </c>
      <c r="DG7" t="s">
        <v>32</v>
      </c>
    </row>
    <row r="8" spans="1:114" x14ac:dyDescent="0.3">
      <c r="I8" s="16" t="s">
        <v>95</v>
      </c>
      <c r="J8" s="23">
        <v>35.9</v>
      </c>
      <c r="K8" s="23">
        <v>1165.58</v>
      </c>
      <c r="T8" s="16" t="s">
        <v>32</v>
      </c>
      <c r="U8" s="23">
        <v>2.7</v>
      </c>
      <c r="AD8" s="16" t="s">
        <v>55</v>
      </c>
      <c r="AE8" s="23">
        <v>37.380000000000003</v>
      </c>
      <c r="AF8" s="23">
        <v>34.64</v>
      </c>
      <c r="AG8" s="23"/>
      <c r="AH8" s="23">
        <v>7.83</v>
      </c>
      <c r="AI8" s="23">
        <v>25</v>
      </c>
      <c r="AJ8" s="23">
        <v>19.23</v>
      </c>
      <c r="AK8" s="23"/>
      <c r="AL8" s="23"/>
      <c r="AM8" s="23">
        <v>124.08</v>
      </c>
      <c r="AO8" s="17" t="s">
        <v>53</v>
      </c>
      <c r="AP8" s="23">
        <v>3</v>
      </c>
      <c r="AQ8" s="23">
        <v>2</v>
      </c>
      <c r="AR8" s="23">
        <v>3</v>
      </c>
      <c r="AS8" s="23">
        <v>8</v>
      </c>
      <c r="CU8" s="16" t="s">
        <v>53</v>
      </c>
      <c r="CV8" s="23">
        <v>23.4</v>
      </c>
      <c r="CW8" s="23">
        <v>23.6</v>
      </c>
      <c r="CX8" s="23">
        <v>20.2</v>
      </c>
      <c r="CY8" s="23"/>
      <c r="CZ8" s="23">
        <v>16.5</v>
      </c>
      <c r="DA8" s="23">
        <v>16.399999999999999</v>
      </c>
      <c r="DB8" s="23">
        <v>13.7</v>
      </c>
      <c r="DC8" s="23"/>
      <c r="DD8" s="23">
        <v>5.5</v>
      </c>
      <c r="DE8" s="23">
        <v>5.4</v>
      </c>
      <c r="DF8" s="23">
        <v>5.7</v>
      </c>
      <c r="DG8" s="23"/>
      <c r="DH8" s="23">
        <v>67.2</v>
      </c>
      <c r="DI8" s="23">
        <v>46.6</v>
      </c>
      <c r="DJ8" s="23">
        <v>16.600000000000001</v>
      </c>
    </row>
    <row r="9" spans="1:114" x14ac:dyDescent="0.3">
      <c r="T9" s="16" t="s">
        <v>95</v>
      </c>
      <c r="U9" s="23">
        <v>35.9</v>
      </c>
      <c r="AD9" s="16" t="s">
        <v>95</v>
      </c>
      <c r="AE9" s="23">
        <v>40.409999999999997</v>
      </c>
      <c r="AF9" s="23">
        <v>38.590000000000003</v>
      </c>
      <c r="AG9" s="23">
        <v>34.72</v>
      </c>
      <c r="AH9" s="23">
        <v>32.57</v>
      </c>
      <c r="AI9" s="23">
        <v>55.14</v>
      </c>
      <c r="AJ9" s="23">
        <v>81.510000000000005</v>
      </c>
      <c r="AK9" s="23">
        <v>38.36</v>
      </c>
      <c r="AL9" s="23">
        <v>22.95</v>
      </c>
      <c r="AM9" s="23">
        <v>344.25</v>
      </c>
      <c r="AO9" s="17" t="s">
        <v>55</v>
      </c>
      <c r="AP9" s="23">
        <v>1</v>
      </c>
      <c r="AQ9" s="23">
        <v>2</v>
      </c>
      <c r="AR9" s="23"/>
      <c r="AS9" s="23">
        <v>3</v>
      </c>
      <c r="CU9" s="16" t="s">
        <v>55</v>
      </c>
      <c r="CV9" s="23">
        <v>11.2</v>
      </c>
      <c r="CW9" s="23">
        <v>28.4</v>
      </c>
      <c r="CX9" s="23">
        <v>19.3</v>
      </c>
      <c r="CY9" s="23">
        <v>10.5</v>
      </c>
      <c r="CZ9" s="23">
        <v>9.9</v>
      </c>
      <c r="DA9" s="23">
        <v>20.8</v>
      </c>
      <c r="DB9" s="23">
        <v>15.6</v>
      </c>
      <c r="DC9" s="23">
        <v>7.8</v>
      </c>
      <c r="DD9" s="23">
        <v>1</v>
      </c>
      <c r="DE9" s="23">
        <v>5.9</v>
      </c>
      <c r="DF9" s="23">
        <v>2.4</v>
      </c>
      <c r="DG9" s="23">
        <v>2.7</v>
      </c>
      <c r="DH9" s="23">
        <v>69.400000000000006</v>
      </c>
      <c r="DI9" s="23">
        <v>54.1</v>
      </c>
      <c r="DJ9" s="23">
        <v>12</v>
      </c>
    </row>
    <row r="10" spans="1:114" x14ac:dyDescent="0.3">
      <c r="AO10" s="16" t="s">
        <v>25</v>
      </c>
      <c r="AP10" s="23"/>
      <c r="AQ10" s="23"/>
      <c r="AR10" s="23"/>
      <c r="AS10" s="23"/>
      <c r="CU10" s="16" t="s">
        <v>95</v>
      </c>
      <c r="CV10" s="23">
        <v>34.6</v>
      </c>
      <c r="CW10" s="23">
        <v>52</v>
      </c>
      <c r="CX10" s="23">
        <v>39.5</v>
      </c>
      <c r="CY10" s="23">
        <v>10.5</v>
      </c>
      <c r="CZ10" s="23">
        <v>26.4</v>
      </c>
      <c r="DA10" s="23">
        <v>37.200000000000003</v>
      </c>
      <c r="DB10" s="23">
        <v>29.3</v>
      </c>
      <c r="DC10" s="23">
        <v>7.8</v>
      </c>
      <c r="DD10" s="23">
        <v>6.5</v>
      </c>
      <c r="DE10" s="23">
        <v>11.3</v>
      </c>
      <c r="DF10" s="23">
        <v>8.1</v>
      </c>
      <c r="DG10" s="23">
        <v>2.7</v>
      </c>
      <c r="DH10" s="23">
        <v>136.6</v>
      </c>
      <c r="DI10" s="23">
        <v>100.7</v>
      </c>
      <c r="DJ10" s="23">
        <v>28.6</v>
      </c>
    </row>
    <row r="11" spans="1:114" x14ac:dyDescent="0.3">
      <c r="AO11" s="17" t="s">
        <v>53</v>
      </c>
      <c r="AP11" s="23"/>
      <c r="AQ11" s="23"/>
      <c r="AR11" s="23">
        <v>1</v>
      </c>
      <c r="AS11" s="23">
        <v>1</v>
      </c>
    </row>
    <row r="12" spans="1:114" x14ac:dyDescent="0.3">
      <c r="AO12" s="17" t="s">
        <v>55</v>
      </c>
      <c r="AP12" s="23"/>
      <c r="AQ12" s="23"/>
      <c r="AR12" s="23">
        <v>1</v>
      </c>
      <c r="AS12" s="23">
        <v>1</v>
      </c>
    </row>
    <row r="13" spans="1:114" x14ac:dyDescent="0.3">
      <c r="AO13" s="16" t="s">
        <v>95</v>
      </c>
      <c r="AP13" s="23">
        <v>4</v>
      </c>
      <c r="AQ13" s="23">
        <v>4</v>
      </c>
      <c r="AR13" s="23">
        <v>5</v>
      </c>
      <c r="AS13" s="23">
        <v>13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1EA2-1585-4BAD-AB78-90E065B5ACB0}">
  <dimension ref="A1"/>
  <sheetViews>
    <sheetView showGridLines="0" zoomScale="46" zoomScaleNormal="55" zoomScalePageLayoutView="51" workbookViewId="0"/>
  </sheetViews>
  <sheetFormatPr defaultRowHeight="14.4" x14ac:dyDescent="0.3"/>
  <sheetData>
    <row r="1" spans="1:1" x14ac:dyDescent="0.3">
      <c r="A1" t="s">
        <v>142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1"/>
  <sheetViews>
    <sheetView topLeftCell="I1" zoomScale="120" zoomScaleNormal="45" workbookViewId="0">
      <pane ySplit="1" topLeftCell="A2" activePane="bottomLeft" state="frozen"/>
      <selection pane="bottomLeft" activeCell="O270" sqref="O270"/>
    </sheetView>
  </sheetViews>
  <sheetFormatPr defaultRowHeight="14.4" x14ac:dyDescent="0.3"/>
  <cols>
    <col min="1" max="1" width="12" customWidth="1"/>
    <col min="2" max="2" width="20" customWidth="1"/>
    <col min="3" max="3" width="14" customWidth="1"/>
    <col min="4" max="4" width="13" customWidth="1"/>
    <col min="5" max="5" width="16" customWidth="1"/>
    <col min="6" max="6" width="18" customWidth="1"/>
    <col min="7" max="7" width="15" customWidth="1"/>
    <col min="8" max="8" width="22" customWidth="1"/>
    <col min="9" max="9" width="18" customWidth="1"/>
    <col min="10" max="11" width="14" customWidth="1"/>
    <col min="12" max="12" width="18" customWidth="1"/>
    <col min="13" max="13" width="16" customWidth="1"/>
    <col min="14" max="14" width="15" customWidth="1"/>
    <col min="15" max="15" width="19.21875" customWidth="1"/>
    <col min="16" max="16" width="17.44140625" customWidth="1"/>
    <col min="17" max="17" width="15.6640625" customWidth="1"/>
  </cols>
  <sheetData>
    <row r="1" spans="1:19"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8" t="s">
        <v>129</v>
      </c>
      <c r="P1" s="18" t="s">
        <v>130</v>
      </c>
      <c r="Q1" s="18" t="s">
        <v>138</v>
      </c>
      <c r="R1" s="18" t="s">
        <v>139</v>
      </c>
      <c r="S1" s="18" t="s">
        <v>140</v>
      </c>
    </row>
    <row r="2" spans="1:19" x14ac:dyDescent="0.3">
      <c r="A2" s="2" t="s">
        <v>14</v>
      </c>
      <c r="B2" s="19" t="s">
        <v>15</v>
      </c>
      <c r="C2" s="2" t="s">
        <v>16</v>
      </c>
      <c r="D2" s="3">
        <v>45298</v>
      </c>
      <c r="E2" s="2">
        <v>10.4</v>
      </c>
      <c r="F2" s="2">
        <v>5.7</v>
      </c>
      <c r="G2" s="2">
        <v>4.5999999999999996</v>
      </c>
      <c r="H2" s="2" t="s">
        <v>17</v>
      </c>
      <c r="I2" s="2" t="s">
        <v>18</v>
      </c>
      <c r="J2" s="2" t="s">
        <v>19</v>
      </c>
      <c r="K2" s="2" t="s">
        <v>20</v>
      </c>
      <c r="L2" s="4">
        <v>54.81</v>
      </c>
      <c r="M2" s="2">
        <v>44.23</v>
      </c>
      <c r="N2" s="2">
        <v>4.7</v>
      </c>
      <c r="O2">
        <f>COUNTA(C3:C301)</f>
        <v>299</v>
      </c>
      <c r="P2">
        <f>COUNTA(B2:B301)</f>
        <v>300</v>
      </c>
      <c r="Q2" s="20">
        <f>AVERAGEA(L2:L301)</f>
        <v>69.312933333333291</v>
      </c>
      <c r="R2" s="21">
        <f>AVERAGEA(M2:M301)</f>
        <v>25.542633333333331</v>
      </c>
      <c r="S2" s="21">
        <f>AVERAGEA(N2:N301)</f>
        <v>2.8346666666666671</v>
      </c>
    </row>
    <row r="3" spans="1:19" x14ac:dyDescent="0.3">
      <c r="A3" s="5" t="s">
        <v>21</v>
      </c>
      <c r="B3" s="5" t="s">
        <v>22</v>
      </c>
      <c r="C3" s="5" t="s">
        <v>23</v>
      </c>
      <c r="D3" s="6">
        <v>45300</v>
      </c>
      <c r="E3" s="5">
        <v>6.2</v>
      </c>
      <c r="F3" s="5">
        <v>3.3</v>
      </c>
      <c r="G3" s="5">
        <v>2.4</v>
      </c>
      <c r="H3" s="5" t="s">
        <v>17</v>
      </c>
      <c r="I3" s="5" t="s">
        <v>18</v>
      </c>
      <c r="J3" s="5" t="s">
        <v>24</v>
      </c>
      <c r="K3" s="5" t="s">
        <v>25</v>
      </c>
      <c r="L3" s="4">
        <v>53.23</v>
      </c>
      <c r="M3" s="5">
        <v>38.71</v>
      </c>
      <c r="N3" s="5">
        <v>2.9</v>
      </c>
    </row>
    <row r="4" spans="1:19" x14ac:dyDescent="0.3">
      <c r="A4" s="2" t="s">
        <v>26</v>
      </c>
      <c r="B4" s="2" t="s">
        <v>27</v>
      </c>
      <c r="C4" s="2" t="s">
        <v>23</v>
      </c>
      <c r="D4" s="3">
        <v>45442</v>
      </c>
      <c r="E4" s="2">
        <v>7.7</v>
      </c>
      <c r="F4" s="2">
        <v>7.1</v>
      </c>
      <c r="G4" s="2">
        <v>0</v>
      </c>
      <c r="H4" s="2" t="s">
        <v>28</v>
      </c>
      <c r="I4" s="2" t="s">
        <v>28</v>
      </c>
      <c r="J4" s="2" t="s">
        <v>29</v>
      </c>
      <c r="K4" s="2" t="s">
        <v>25</v>
      </c>
      <c r="L4" s="7">
        <v>92.21</v>
      </c>
      <c r="M4" s="2">
        <v>0</v>
      </c>
      <c r="N4" s="2">
        <v>0.6</v>
      </c>
    </row>
    <row r="5" spans="1:19" x14ac:dyDescent="0.3">
      <c r="A5" s="5" t="s">
        <v>30</v>
      </c>
      <c r="B5" s="5" t="s">
        <v>31</v>
      </c>
      <c r="C5" s="5" t="s">
        <v>32</v>
      </c>
      <c r="D5" s="6">
        <v>45331</v>
      </c>
      <c r="E5" s="5">
        <v>7.3</v>
      </c>
      <c r="F5" s="5">
        <v>6.3</v>
      </c>
      <c r="G5" s="5">
        <v>0.9</v>
      </c>
      <c r="H5" s="5" t="s">
        <v>33</v>
      </c>
      <c r="I5" s="5" t="s">
        <v>34</v>
      </c>
      <c r="J5" s="5" t="s">
        <v>19</v>
      </c>
      <c r="K5" s="5" t="s">
        <v>35</v>
      </c>
      <c r="L5" s="7">
        <v>86.3</v>
      </c>
      <c r="M5" s="5">
        <v>12.33</v>
      </c>
      <c r="N5" s="5">
        <v>1</v>
      </c>
    </row>
    <row r="6" spans="1:19" x14ac:dyDescent="0.3">
      <c r="A6" s="2" t="s">
        <v>30</v>
      </c>
      <c r="B6" s="2" t="s">
        <v>31</v>
      </c>
      <c r="C6" s="2" t="s">
        <v>36</v>
      </c>
      <c r="D6" s="3">
        <v>45359</v>
      </c>
      <c r="E6" s="2">
        <v>10.8</v>
      </c>
      <c r="F6" s="2">
        <v>9</v>
      </c>
      <c r="G6" s="2">
        <v>1.3</v>
      </c>
      <c r="H6" s="2" t="s">
        <v>33</v>
      </c>
      <c r="I6" s="2" t="s">
        <v>34</v>
      </c>
      <c r="J6" s="2" t="s">
        <v>19</v>
      </c>
      <c r="K6" s="2" t="s">
        <v>35</v>
      </c>
      <c r="L6" s="7">
        <v>83.33</v>
      </c>
      <c r="M6" s="2">
        <v>12.04</v>
      </c>
      <c r="N6" s="2">
        <v>1.8</v>
      </c>
    </row>
    <row r="7" spans="1:19" x14ac:dyDescent="0.3">
      <c r="A7" s="5" t="s">
        <v>14</v>
      </c>
      <c r="B7" s="5" t="s">
        <v>15</v>
      </c>
      <c r="C7" s="5" t="s">
        <v>36</v>
      </c>
      <c r="D7" s="6">
        <v>45384</v>
      </c>
      <c r="E7" s="5">
        <v>9.5</v>
      </c>
      <c r="F7" s="5">
        <v>7.8</v>
      </c>
      <c r="G7" s="5">
        <v>1.7</v>
      </c>
      <c r="H7" s="5" t="s">
        <v>37</v>
      </c>
      <c r="I7" s="5" t="s">
        <v>34</v>
      </c>
      <c r="J7" s="5" t="s">
        <v>38</v>
      </c>
      <c r="K7" s="5" t="s">
        <v>35</v>
      </c>
      <c r="L7" s="7">
        <v>82.11</v>
      </c>
      <c r="M7" s="5">
        <v>17.89</v>
      </c>
      <c r="N7" s="5">
        <v>1.7</v>
      </c>
    </row>
    <row r="8" spans="1:19" x14ac:dyDescent="0.3">
      <c r="A8" s="2" t="s">
        <v>26</v>
      </c>
      <c r="B8" s="2" t="s">
        <v>27</v>
      </c>
      <c r="C8" s="2" t="s">
        <v>39</v>
      </c>
      <c r="D8" s="3">
        <v>45317</v>
      </c>
      <c r="E8" s="2">
        <v>8.3000000000000007</v>
      </c>
      <c r="F8" s="2">
        <v>5.6</v>
      </c>
      <c r="G8" s="2">
        <v>1.9</v>
      </c>
      <c r="H8" s="2" t="s">
        <v>37</v>
      </c>
      <c r="I8" s="2" t="s">
        <v>34</v>
      </c>
      <c r="J8" s="2" t="s">
        <v>40</v>
      </c>
      <c r="K8" s="2" t="s">
        <v>35</v>
      </c>
      <c r="L8" s="8">
        <v>67.47</v>
      </c>
      <c r="M8" s="2">
        <v>22.89</v>
      </c>
      <c r="N8" s="2">
        <v>2.7</v>
      </c>
    </row>
    <row r="9" spans="1:19" x14ac:dyDescent="0.3">
      <c r="A9" s="5" t="s">
        <v>26</v>
      </c>
      <c r="B9" s="5" t="s">
        <v>27</v>
      </c>
      <c r="C9" s="5" t="s">
        <v>41</v>
      </c>
      <c r="D9" s="6">
        <v>45360</v>
      </c>
      <c r="E9" s="5">
        <v>10.199999999999999</v>
      </c>
      <c r="F9" s="5">
        <v>8.3000000000000007</v>
      </c>
      <c r="G9" s="5">
        <v>1.8</v>
      </c>
      <c r="H9" s="5" t="s">
        <v>42</v>
      </c>
      <c r="I9" s="5" t="s">
        <v>34</v>
      </c>
      <c r="J9" s="5" t="s">
        <v>29</v>
      </c>
      <c r="K9" s="5" t="s">
        <v>35</v>
      </c>
      <c r="L9" s="7">
        <v>81.37</v>
      </c>
      <c r="M9" s="5">
        <v>17.649999999999999</v>
      </c>
      <c r="N9" s="5">
        <v>1.9</v>
      </c>
    </row>
    <row r="10" spans="1:19" x14ac:dyDescent="0.3">
      <c r="A10" s="2" t="s">
        <v>43</v>
      </c>
      <c r="B10" s="2" t="s">
        <v>44</v>
      </c>
      <c r="C10" s="2" t="s">
        <v>23</v>
      </c>
      <c r="D10" s="3">
        <v>45389</v>
      </c>
      <c r="E10" s="2">
        <v>7.6</v>
      </c>
      <c r="F10" s="2">
        <v>7.3</v>
      </c>
      <c r="G10" s="2">
        <v>0</v>
      </c>
      <c r="H10" s="2" t="s">
        <v>28</v>
      </c>
      <c r="I10" s="2" t="s">
        <v>28</v>
      </c>
      <c r="J10" s="2" t="s">
        <v>24</v>
      </c>
      <c r="K10" s="2" t="s">
        <v>35</v>
      </c>
      <c r="L10" s="7">
        <v>96.05</v>
      </c>
      <c r="M10" s="2">
        <v>0</v>
      </c>
      <c r="N10" s="2">
        <v>0.3</v>
      </c>
    </row>
    <row r="11" spans="1:19" x14ac:dyDescent="0.3">
      <c r="A11" s="5" t="s">
        <v>45</v>
      </c>
      <c r="B11" s="5" t="s">
        <v>46</v>
      </c>
      <c r="C11" s="5" t="s">
        <v>47</v>
      </c>
      <c r="D11" s="6">
        <v>45300</v>
      </c>
      <c r="E11" s="5">
        <v>10.8</v>
      </c>
      <c r="F11" s="5">
        <v>6.9</v>
      </c>
      <c r="G11" s="5">
        <v>3.8</v>
      </c>
      <c r="H11" s="5" t="s">
        <v>48</v>
      </c>
      <c r="I11" s="5" t="s">
        <v>34</v>
      </c>
      <c r="J11" s="5" t="s">
        <v>40</v>
      </c>
      <c r="K11" s="5" t="s">
        <v>20</v>
      </c>
      <c r="L11" s="8">
        <v>63.89</v>
      </c>
      <c r="M11" s="5">
        <v>35.19</v>
      </c>
      <c r="N11" s="5">
        <v>3.9</v>
      </c>
    </row>
    <row r="12" spans="1:19" x14ac:dyDescent="0.3">
      <c r="A12" s="2" t="s">
        <v>26</v>
      </c>
      <c r="B12" s="2" t="s">
        <v>27</v>
      </c>
      <c r="C12" s="2" t="s">
        <v>41</v>
      </c>
      <c r="D12" s="3">
        <v>45419</v>
      </c>
      <c r="E12" s="2">
        <v>8.4</v>
      </c>
      <c r="F12" s="2">
        <v>8</v>
      </c>
      <c r="G12" s="2">
        <v>0</v>
      </c>
      <c r="H12" s="2" t="s">
        <v>28</v>
      </c>
      <c r="I12" s="2" t="s">
        <v>28</v>
      </c>
      <c r="J12" s="2" t="s">
        <v>38</v>
      </c>
      <c r="K12" s="2" t="s">
        <v>35</v>
      </c>
      <c r="L12" s="7">
        <v>95.24</v>
      </c>
      <c r="M12" s="2">
        <v>0</v>
      </c>
      <c r="N12" s="2">
        <v>0.4</v>
      </c>
    </row>
    <row r="13" spans="1:19" x14ac:dyDescent="0.3">
      <c r="A13" s="5" t="s">
        <v>26</v>
      </c>
      <c r="B13" s="5" t="s">
        <v>27</v>
      </c>
      <c r="C13" s="5" t="s">
        <v>41</v>
      </c>
      <c r="D13" s="6">
        <v>45435</v>
      </c>
      <c r="E13" s="5">
        <v>9.1999999999999993</v>
      </c>
      <c r="F13" s="5">
        <v>7.8</v>
      </c>
      <c r="G13" s="5">
        <v>1</v>
      </c>
      <c r="H13" s="5" t="s">
        <v>48</v>
      </c>
      <c r="I13" s="5" t="s">
        <v>34</v>
      </c>
      <c r="J13" s="5" t="s">
        <v>49</v>
      </c>
      <c r="K13" s="5" t="s">
        <v>35</v>
      </c>
      <c r="L13" s="7">
        <v>84.78</v>
      </c>
      <c r="M13" s="5">
        <v>10.87</v>
      </c>
      <c r="N13" s="5">
        <v>1.4</v>
      </c>
    </row>
    <row r="14" spans="1:19" x14ac:dyDescent="0.3">
      <c r="A14" s="2" t="s">
        <v>26</v>
      </c>
      <c r="B14" s="2" t="s">
        <v>27</v>
      </c>
      <c r="C14" s="2" t="s">
        <v>47</v>
      </c>
      <c r="D14" s="3">
        <v>45422</v>
      </c>
      <c r="E14" s="2">
        <v>9</v>
      </c>
      <c r="F14" s="2">
        <v>7.7</v>
      </c>
      <c r="G14" s="2">
        <v>0.4</v>
      </c>
      <c r="H14" s="2" t="s">
        <v>37</v>
      </c>
      <c r="I14" s="2" t="s">
        <v>34</v>
      </c>
      <c r="J14" s="2" t="s">
        <v>29</v>
      </c>
      <c r="K14" s="2" t="s">
        <v>25</v>
      </c>
      <c r="L14" s="7">
        <v>85.56</v>
      </c>
      <c r="M14" s="2">
        <v>4.4400000000000004</v>
      </c>
      <c r="N14" s="2">
        <v>1.3</v>
      </c>
    </row>
    <row r="15" spans="1:19" x14ac:dyDescent="0.3">
      <c r="A15" s="5" t="s">
        <v>21</v>
      </c>
      <c r="B15" s="5" t="s">
        <v>22</v>
      </c>
      <c r="C15" s="5" t="s">
        <v>16</v>
      </c>
      <c r="D15" s="6">
        <v>45390</v>
      </c>
      <c r="E15" s="5">
        <v>8.3000000000000007</v>
      </c>
      <c r="F15" s="5">
        <v>8.3000000000000007</v>
      </c>
      <c r="G15" s="5">
        <v>0</v>
      </c>
      <c r="H15" s="5" t="s">
        <v>28</v>
      </c>
      <c r="I15" s="5" t="s">
        <v>28</v>
      </c>
      <c r="J15" s="5" t="s">
        <v>50</v>
      </c>
      <c r="K15" s="5" t="s">
        <v>35</v>
      </c>
      <c r="L15" s="7">
        <v>100</v>
      </c>
      <c r="M15" s="5">
        <v>0</v>
      </c>
      <c r="N15" s="5">
        <v>0</v>
      </c>
    </row>
    <row r="16" spans="1:19" x14ac:dyDescent="0.3">
      <c r="A16" s="2" t="s">
        <v>14</v>
      </c>
      <c r="B16" s="2" t="s">
        <v>15</v>
      </c>
      <c r="C16" s="2" t="s">
        <v>36</v>
      </c>
      <c r="D16" s="3">
        <v>45360</v>
      </c>
      <c r="E16" s="2">
        <v>10.6</v>
      </c>
      <c r="F16" s="2">
        <v>6.4</v>
      </c>
      <c r="G16" s="2">
        <v>3.9</v>
      </c>
      <c r="H16" s="2" t="s">
        <v>37</v>
      </c>
      <c r="I16" s="2" t="s">
        <v>34</v>
      </c>
      <c r="J16" s="2" t="s">
        <v>51</v>
      </c>
      <c r="K16" s="2" t="s">
        <v>20</v>
      </c>
      <c r="L16" s="8">
        <v>60.38</v>
      </c>
      <c r="M16" s="2">
        <v>36.79</v>
      </c>
      <c r="N16" s="2">
        <v>4.2</v>
      </c>
    </row>
    <row r="17" spans="1:14" x14ac:dyDescent="0.3">
      <c r="A17" s="5" t="s">
        <v>45</v>
      </c>
      <c r="B17" s="5" t="s">
        <v>46</v>
      </c>
      <c r="C17" s="5" t="s">
        <v>41</v>
      </c>
      <c r="D17" s="6">
        <v>45359</v>
      </c>
      <c r="E17" s="5">
        <v>11.8</v>
      </c>
      <c r="F17" s="5">
        <v>10.1</v>
      </c>
      <c r="G17" s="5">
        <v>1.2</v>
      </c>
      <c r="H17" s="5" t="s">
        <v>17</v>
      </c>
      <c r="I17" s="5" t="s">
        <v>18</v>
      </c>
      <c r="J17" s="5" t="s">
        <v>38</v>
      </c>
      <c r="K17" s="5" t="s">
        <v>35</v>
      </c>
      <c r="L17" s="7">
        <v>85.59</v>
      </c>
      <c r="M17" s="5">
        <v>10.17</v>
      </c>
      <c r="N17" s="5">
        <v>1.7</v>
      </c>
    </row>
    <row r="18" spans="1:14" x14ac:dyDescent="0.3">
      <c r="A18" s="2" t="s">
        <v>43</v>
      </c>
      <c r="B18" s="2" t="s">
        <v>44</v>
      </c>
      <c r="C18" s="2" t="s">
        <v>32</v>
      </c>
      <c r="D18" s="3">
        <v>45333</v>
      </c>
      <c r="E18" s="2">
        <v>9.1999999999999993</v>
      </c>
      <c r="F18" s="2">
        <v>8</v>
      </c>
      <c r="G18" s="2">
        <v>0.7</v>
      </c>
      <c r="H18" s="2" t="s">
        <v>17</v>
      </c>
      <c r="I18" s="2" t="s">
        <v>18</v>
      </c>
      <c r="J18" s="2" t="s">
        <v>40</v>
      </c>
      <c r="K18" s="2" t="s">
        <v>25</v>
      </c>
      <c r="L18" s="7">
        <v>86.96</v>
      </c>
      <c r="M18" s="2">
        <v>7.61</v>
      </c>
      <c r="N18" s="2">
        <v>1.2</v>
      </c>
    </row>
    <row r="19" spans="1:14" x14ac:dyDescent="0.3">
      <c r="A19" s="5" t="s">
        <v>45</v>
      </c>
      <c r="B19" s="5" t="s">
        <v>46</v>
      </c>
      <c r="C19" s="5" t="s">
        <v>16</v>
      </c>
      <c r="D19" s="6">
        <v>45384</v>
      </c>
      <c r="E19" s="5">
        <v>11.3</v>
      </c>
      <c r="F19" s="5">
        <v>10.199999999999999</v>
      </c>
      <c r="G19" s="5">
        <v>0.8</v>
      </c>
      <c r="H19" s="5" t="s">
        <v>17</v>
      </c>
      <c r="I19" s="5" t="s">
        <v>18</v>
      </c>
      <c r="J19" s="5" t="s">
        <v>24</v>
      </c>
      <c r="K19" s="5" t="s">
        <v>35</v>
      </c>
      <c r="L19" s="7">
        <v>90.27</v>
      </c>
      <c r="M19" s="5">
        <v>7.08</v>
      </c>
      <c r="N19" s="5">
        <v>1.1000000000000001</v>
      </c>
    </row>
    <row r="20" spans="1:14" x14ac:dyDescent="0.3">
      <c r="A20" s="2" t="s">
        <v>52</v>
      </c>
      <c r="B20" s="2" t="s">
        <v>53</v>
      </c>
      <c r="C20" s="2" t="s">
        <v>41</v>
      </c>
      <c r="D20" s="3">
        <v>45416</v>
      </c>
      <c r="E20" s="2">
        <v>10.9</v>
      </c>
      <c r="F20" s="2">
        <v>10.8</v>
      </c>
      <c r="G20" s="2">
        <v>0</v>
      </c>
      <c r="H20" s="2" t="s">
        <v>28</v>
      </c>
      <c r="I20" s="2" t="s">
        <v>28</v>
      </c>
      <c r="J20" s="2" t="s">
        <v>29</v>
      </c>
      <c r="K20" s="2" t="s">
        <v>35</v>
      </c>
      <c r="L20" s="7">
        <v>99.08</v>
      </c>
      <c r="M20" s="2">
        <v>0</v>
      </c>
      <c r="N20" s="2">
        <v>0.1</v>
      </c>
    </row>
    <row r="21" spans="1:14" x14ac:dyDescent="0.3">
      <c r="A21" s="5" t="s">
        <v>14</v>
      </c>
      <c r="B21" s="5" t="s">
        <v>15</v>
      </c>
      <c r="C21" s="5" t="s">
        <v>23</v>
      </c>
      <c r="D21" s="6">
        <v>45432</v>
      </c>
      <c r="E21" s="5">
        <v>7</v>
      </c>
      <c r="F21" s="5">
        <v>5</v>
      </c>
      <c r="G21" s="5">
        <v>1.4</v>
      </c>
      <c r="H21" s="5" t="s">
        <v>37</v>
      </c>
      <c r="I21" s="5" t="s">
        <v>34</v>
      </c>
      <c r="J21" s="5" t="s">
        <v>24</v>
      </c>
      <c r="K21" s="5" t="s">
        <v>35</v>
      </c>
      <c r="L21" s="8">
        <v>71.430000000000007</v>
      </c>
      <c r="M21" s="5">
        <v>20</v>
      </c>
      <c r="N21" s="5">
        <v>2</v>
      </c>
    </row>
    <row r="22" spans="1:14" x14ac:dyDescent="0.3">
      <c r="A22" s="2" t="s">
        <v>54</v>
      </c>
      <c r="B22" s="2" t="s">
        <v>55</v>
      </c>
      <c r="C22" s="2" t="s">
        <v>41</v>
      </c>
      <c r="D22" s="3">
        <v>45458</v>
      </c>
      <c r="E22" s="2">
        <v>8.1999999999999993</v>
      </c>
      <c r="F22" s="2">
        <v>7.7</v>
      </c>
      <c r="G22" s="2">
        <v>0</v>
      </c>
      <c r="H22" s="2" t="s">
        <v>28</v>
      </c>
      <c r="I22" s="2" t="s">
        <v>28</v>
      </c>
      <c r="J22" s="2" t="s">
        <v>24</v>
      </c>
      <c r="K22" s="2" t="s">
        <v>35</v>
      </c>
      <c r="L22" s="7">
        <v>93.9</v>
      </c>
      <c r="M22" s="2">
        <v>0</v>
      </c>
      <c r="N22" s="2">
        <v>0.5</v>
      </c>
    </row>
    <row r="23" spans="1:14" x14ac:dyDescent="0.3">
      <c r="A23" s="5" t="s">
        <v>52</v>
      </c>
      <c r="B23" s="5" t="s">
        <v>53</v>
      </c>
      <c r="C23" s="5" t="s">
        <v>32</v>
      </c>
      <c r="D23" s="6">
        <v>45297</v>
      </c>
      <c r="E23" s="5">
        <v>9.5</v>
      </c>
      <c r="F23" s="5">
        <v>5.0999999999999996</v>
      </c>
      <c r="G23" s="5">
        <v>4.2</v>
      </c>
      <c r="H23" s="5" t="s">
        <v>17</v>
      </c>
      <c r="I23" s="5" t="s">
        <v>18</v>
      </c>
      <c r="J23" s="5" t="s">
        <v>50</v>
      </c>
      <c r="K23" s="5" t="s">
        <v>20</v>
      </c>
      <c r="L23" s="4">
        <v>53.68</v>
      </c>
      <c r="M23" s="5">
        <v>44.21</v>
      </c>
      <c r="N23" s="5">
        <v>4.4000000000000004</v>
      </c>
    </row>
    <row r="24" spans="1:14" x14ac:dyDescent="0.3">
      <c r="A24" s="2" t="s">
        <v>26</v>
      </c>
      <c r="B24" s="2" t="s">
        <v>27</v>
      </c>
      <c r="C24" s="2" t="s">
        <v>16</v>
      </c>
      <c r="D24" s="3">
        <v>45300</v>
      </c>
      <c r="E24" s="2">
        <v>11.2</v>
      </c>
      <c r="F24" s="2">
        <v>5</v>
      </c>
      <c r="G24" s="2">
        <v>6</v>
      </c>
      <c r="H24" s="2" t="s">
        <v>42</v>
      </c>
      <c r="I24" s="2" t="s">
        <v>34</v>
      </c>
      <c r="J24" s="2" t="s">
        <v>51</v>
      </c>
      <c r="K24" s="2" t="s">
        <v>20</v>
      </c>
      <c r="L24" s="4">
        <v>44.64</v>
      </c>
      <c r="M24" s="2">
        <v>53.57</v>
      </c>
      <c r="N24" s="2">
        <v>6.2</v>
      </c>
    </row>
    <row r="25" spans="1:14" x14ac:dyDescent="0.3">
      <c r="A25" s="5" t="s">
        <v>26</v>
      </c>
      <c r="B25" s="5" t="s">
        <v>27</v>
      </c>
      <c r="C25" s="5" t="s">
        <v>36</v>
      </c>
      <c r="D25" s="6">
        <v>45325</v>
      </c>
      <c r="E25" s="5">
        <v>10.3</v>
      </c>
      <c r="F25" s="5">
        <v>9.6</v>
      </c>
      <c r="G25" s="5">
        <v>0.1</v>
      </c>
      <c r="H25" s="5" t="s">
        <v>37</v>
      </c>
      <c r="I25" s="5" t="s">
        <v>34</v>
      </c>
      <c r="J25" s="5" t="s">
        <v>51</v>
      </c>
      <c r="K25" s="5" t="s">
        <v>25</v>
      </c>
      <c r="L25" s="7">
        <v>93.2</v>
      </c>
      <c r="M25" s="5">
        <v>0.97</v>
      </c>
      <c r="N25" s="5">
        <v>0.7</v>
      </c>
    </row>
    <row r="26" spans="1:14" x14ac:dyDescent="0.3">
      <c r="A26" s="2" t="s">
        <v>26</v>
      </c>
      <c r="B26" s="2" t="s">
        <v>27</v>
      </c>
      <c r="C26" s="2" t="s">
        <v>16</v>
      </c>
      <c r="D26" s="3">
        <v>45316</v>
      </c>
      <c r="E26" s="2">
        <v>10</v>
      </c>
      <c r="F26" s="2">
        <v>6.1</v>
      </c>
      <c r="G26" s="2">
        <v>3.5</v>
      </c>
      <c r="H26" s="2" t="s">
        <v>56</v>
      </c>
      <c r="I26" s="2" t="s">
        <v>34</v>
      </c>
      <c r="J26" s="2" t="s">
        <v>50</v>
      </c>
      <c r="K26" s="2" t="s">
        <v>20</v>
      </c>
      <c r="L26" s="8">
        <v>61</v>
      </c>
      <c r="M26" s="2">
        <v>35</v>
      </c>
      <c r="N26" s="2">
        <v>3.9</v>
      </c>
    </row>
    <row r="27" spans="1:14" x14ac:dyDescent="0.3">
      <c r="A27" s="5" t="s">
        <v>14</v>
      </c>
      <c r="B27" s="5" t="s">
        <v>15</v>
      </c>
      <c r="C27" s="5" t="s">
        <v>41</v>
      </c>
      <c r="D27" s="6">
        <v>45457</v>
      </c>
      <c r="E27" s="5">
        <v>6.6</v>
      </c>
      <c r="F27" s="5">
        <v>4.2</v>
      </c>
      <c r="G27" s="5">
        <v>2.1</v>
      </c>
      <c r="H27" s="5" t="s">
        <v>56</v>
      </c>
      <c r="I27" s="5" t="s">
        <v>34</v>
      </c>
      <c r="J27" s="5" t="s">
        <v>19</v>
      </c>
      <c r="K27" s="5" t="s">
        <v>35</v>
      </c>
      <c r="L27" s="8">
        <v>63.64</v>
      </c>
      <c r="M27" s="5">
        <v>31.82</v>
      </c>
      <c r="N27" s="5">
        <v>2.4</v>
      </c>
    </row>
    <row r="28" spans="1:14" x14ac:dyDescent="0.3">
      <c r="A28" s="2" t="s">
        <v>26</v>
      </c>
      <c r="B28" s="2" t="s">
        <v>27</v>
      </c>
      <c r="C28" s="2" t="s">
        <v>47</v>
      </c>
      <c r="D28" s="3">
        <v>45429</v>
      </c>
      <c r="E28" s="2">
        <v>8.6999999999999993</v>
      </c>
      <c r="F28" s="2">
        <v>5.7</v>
      </c>
      <c r="G28" s="2">
        <v>2.7</v>
      </c>
      <c r="H28" s="2" t="s">
        <v>37</v>
      </c>
      <c r="I28" s="2" t="s">
        <v>34</v>
      </c>
      <c r="J28" s="2" t="s">
        <v>19</v>
      </c>
      <c r="K28" s="2" t="s">
        <v>25</v>
      </c>
      <c r="L28" s="8">
        <v>65.52</v>
      </c>
      <c r="M28" s="2">
        <v>31.03</v>
      </c>
      <c r="N28" s="2">
        <v>3</v>
      </c>
    </row>
    <row r="29" spans="1:14" x14ac:dyDescent="0.3">
      <c r="A29" s="5" t="s">
        <v>57</v>
      </c>
      <c r="B29" s="5" t="s">
        <v>58</v>
      </c>
      <c r="C29" s="5" t="s">
        <v>16</v>
      </c>
      <c r="D29" s="6">
        <v>45304</v>
      </c>
      <c r="E29" s="5">
        <v>9.9</v>
      </c>
      <c r="F29" s="5">
        <v>7.2</v>
      </c>
      <c r="G29" s="5">
        <v>2.7</v>
      </c>
      <c r="H29" s="5" t="s">
        <v>17</v>
      </c>
      <c r="I29" s="5" t="s">
        <v>18</v>
      </c>
      <c r="J29" s="5" t="s">
        <v>24</v>
      </c>
      <c r="K29" s="5" t="s">
        <v>35</v>
      </c>
      <c r="L29" s="8">
        <v>72.73</v>
      </c>
      <c r="M29" s="5">
        <v>27.27</v>
      </c>
      <c r="N29" s="5">
        <v>2.7</v>
      </c>
    </row>
    <row r="30" spans="1:14" x14ac:dyDescent="0.3">
      <c r="A30" s="2" t="s">
        <v>54</v>
      </c>
      <c r="B30" s="2" t="s">
        <v>55</v>
      </c>
      <c r="C30" s="2" t="s">
        <v>23</v>
      </c>
      <c r="D30" s="3">
        <v>45415</v>
      </c>
      <c r="E30" s="2">
        <v>7.3</v>
      </c>
      <c r="F30" s="2">
        <v>4.7</v>
      </c>
      <c r="G30" s="2">
        <v>2.5</v>
      </c>
      <c r="H30" s="2" t="s">
        <v>33</v>
      </c>
      <c r="I30" s="2" t="s">
        <v>34</v>
      </c>
      <c r="J30" s="2" t="s">
        <v>50</v>
      </c>
      <c r="K30" s="2" t="s">
        <v>25</v>
      </c>
      <c r="L30" s="8">
        <v>64.38</v>
      </c>
      <c r="M30" s="2">
        <v>34.25</v>
      </c>
      <c r="N30" s="2">
        <v>2.6</v>
      </c>
    </row>
    <row r="31" spans="1:14" x14ac:dyDescent="0.3">
      <c r="A31" s="5" t="s">
        <v>59</v>
      </c>
      <c r="B31" s="5" t="s">
        <v>60</v>
      </c>
      <c r="C31" s="5" t="s">
        <v>39</v>
      </c>
      <c r="D31" s="6">
        <v>45408</v>
      </c>
      <c r="E31" s="5">
        <v>7.7</v>
      </c>
      <c r="F31" s="5">
        <v>6.3</v>
      </c>
      <c r="G31" s="5">
        <v>0.7</v>
      </c>
      <c r="H31" s="5" t="s">
        <v>56</v>
      </c>
      <c r="I31" s="5" t="s">
        <v>34</v>
      </c>
      <c r="J31" s="5" t="s">
        <v>51</v>
      </c>
      <c r="K31" s="5" t="s">
        <v>35</v>
      </c>
      <c r="L31" s="7">
        <v>81.819999999999993</v>
      </c>
      <c r="M31" s="5">
        <v>9.09</v>
      </c>
      <c r="N31" s="5">
        <v>1.4</v>
      </c>
    </row>
    <row r="32" spans="1:14" x14ac:dyDescent="0.3">
      <c r="A32" s="2" t="s">
        <v>26</v>
      </c>
      <c r="B32" s="2" t="s">
        <v>27</v>
      </c>
      <c r="C32" s="2" t="s">
        <v>32</v>
      </c>
      <c r="D32" s="3">
        <v>45347</v>
      </c>
      <c r="E32" s="2">
        <v>11.8</v>
      </c>
      <c r="F32" s="2">
        <v>8.8000000000000007</v>
      </c>
      <c r="G32" s="2">
        <v>2.5</v>
      </c>
      <c r="H32" s="2" t="s">
        <v>42</v>
      </c>
      <c r="I32" s="2" t="s">
        <v>34</v>
      </c>
      <c r="J32" s="2" t="s">
        <v>40</v>
      </c>
      <c r="K32" s="2" t="s">
        <v>35</v>
      </c>
      <c r="L32" s="8">
        <v>74.58</v>
      </c>
      <c r="M32" s="2">
        <v>21.19</v>
      </c>
      <c r="N32" s="2">
        <v>3</v>
      </c>
    </row>
    <row r="33" spans="1:14" x14ac:dyDescent="0.3">
      <c r="A33" s="5" t="s">
        <v>45</v>
      </c>
      <c r="B33" s="5" t="s">
        <v>46</v>
      </c>
      <c r="C33" s="5" t="s">
        <v>36</v>
      </c>
      <c r="D33" s="6">
        <v>45414</v>
      </c>
      <c r="E33" s="5">
        <v>9</v>
      </c>
      <c r="F33" s="5">
        <v>8.1999999999999993</v>
      </c>
      <c r="G33" s="5">
        <v>0.6</v>
      </c>
      <c r="H33" s="5" t="s">
        <v>48</v>
      </c>
      <c r="I33" s="5" t="s">
        <v>34</v>
      </c>
      <c r="J33" s="5" t="s">
        <v>19</v>
      </c>
      <c r="K33" s="5" t="s">
        <v>35</v>
      </c>
      <c r="L33" s="7">
        <v>91.11</v>
      </c>
      <c r="M33" s="5">
        <v>6.67</v>
      </c>
      <c r="N33" s="5">
        <v>0.8</v>
      </c>
    </row>
    <row r="34" spans="1:14" x14ac:dyDescent="0.3">
      <c r="A34" s="2" t="s">
        <v>52</v>
      </c>
      <c r="B34" s="2" t="s">
        <v>53</v>
      </c>
      <c r="C34" s="2" t="s">
        <v>36</v>
      </c>
      <c r="D34" s="3">
        <v>45309</v>
      </c>
      <c r="E34" s="2">
        <v>10.1</v>
      </c>
      <c r="F34" s="2">
        <v>5.5</v>
      </c>
      <c r="G34" s="2">
        <v>4.5</v>
      </c>
      <c r="H34" s="2" t="s">
        <v>48</v>
      </c>
      <c r="I34" s="2" t="s">
        <v>34</v>
      </c>
      <c r="J34" s="2" t="s">
        <v>24</v>
      </c>
      <c r="K34" s="2" t="s">
        <v>20</v>
      </c>
      <c r="L34" s="4">
        <v>54.46</v>
      </c>
      <c r="M34" s="2">
        <v>44.55</v>
      </c>
      <c r="N34" s="2">
        <v>4.5999999999999996</v>
      </c>
    </row>
    <row r="35" spans="1:14" x14ac:dyDescent="0.3">
      <c r="A35" s="5" t="s">
        <v>21</v>
      </c>
      <c r="B35" s="5" t="s">
        <v>22</v>
      </c>
      <c r="C35" s="5" t="s">
        <v>36</v>
      </c>
      <c r="D35" s="6">
        <v>45302</v>
      </c>
      <c r="E35" s="5">
        <v>9.6999999999999993</v>
      </c>
      <c r="F35" s="5">
        <v>6.3</v>
      </c>
      <c r="G35" s="5">
        <v>2.8</v>
      </c>
      <c r="H35" s="5" t="s">
        <v>48</v>
      </c>
      <c r="I35" s="5" t="s">
        <v>34</v>
      </c>
      <c r="J35" s="5" t="s">
        <v>40</v>
      </c>
      <c r="K35" s="5" t="s">
        <v>35</v>
      </c>
      <c r="L35" s="8">
        <v>64.95</v>
      </c>
      <c r="M35" s="5">
        <v>28.87</v>
      </c>
      <c r="N35" s="5">
        <v>3.4</v>
      </c>
    </row>
    <row r="36" spans="1:14" x14ac:dyDescent="0.3">
      <c r="A36" s="2" t="s">
        <v>26</v>
      </c>
      <c r="B36" s="2" t="s">
        <v>27</v>
      </c>
      <c r="C36" s="2" t="s">
        <v>41</v>
      </c>
      <c r="D36" s="3">
        <v>45372</v>
      </c>
      <c r="E36" s="2">
        <v>7.4</v>
      </c>
      <c r="F36" s="2">
        <v>4.7</v>
      </c>
      <c r="G36" s="2">
        <v>2</v>
      </c>
      <c r="H36" s="2" t="s">
        <v>61</v>
      </c>
      <c r="I36" s="2" t="s">
        <v>34</v>
      </c>
      <c r="J36" s="2" t="s">
        <v>51</v>
      </c>
      <c r="K36" s="2" t="s">
        <v>35</v>
      </c>
      <c r="L36" s="8">
        <v>63.51</v>
      </c>
      <c r="M36" s="2">
        <v>27.03</v>
      </c>
      <c r="N36" s="2">
        <v>2.7</v>
      </c>
    </row>
    <row r="37" spans="1:14" x14ac:dyDescent="0.3">
      <c r="A37" s="5" t="s">
        <v>52</v>
      </c>
      <c r="B37" s="5" t="s">
        <v>53</v>
      </c>
      <c r="C37" s="5" t="s">
        <v>16</v>
      </c>
      <c r="D37" s="6">
        <v>45409</v>
      </c>
      <c r="E37" s="5">
        <v>9.6999999999999993</v>
      </c>
      <c r="F37" s="5">
        <v>7.2</v>
      </c>
      <c r="G37" s="5">
        <v>2.4</v>
      </c>
      <c r="H37" s="5" t="s">
        <v>48</v>
      </c>
      <c r="I37" s="5" t="s">
        <v>34</v>
      </c>
      <c r="J37" s="5" t="s">
        <v>24</v>
      </c>
      <c r="K37" s="5" t="s">
        <v>35</v>
      </c>
      <c r="L37" s="8">
        <v>74.23</v>
      </c>
      <c r="M37" s="5">
        <v>24.74</v>
      </c>
      <c r="N37" s="5">
        <v>2.5</v>
      </c>
    </row>
    <row r="38" spans="1:14" x14ac:dyDescent="0.3">
      <c r="A38" s="2" t="s">
        <v>43</v>
      </c>
      <c r="B38" s="2" t="s">
        <v>44</v>
      </c>
      <c r="C38" s="2" t="s">
        <v>32</v>
      </c>
      <c r="D38" s="3">
        <v>45309</v>
      </c>
      <c r="E38" s="2">
        <v>11.3</v>
      </c>
      <c r="F38" s="2">
        <v>7</v>
      </c>
      <c r="G38" s="2">
        <v>4.0999999999999996</v>
      </c>
      <c r="H38" s="2" t="s">
        <v>56</v>
      </c>
      <c r="I38" s="2" t="s">
        <v>34</v>
      </c>
      <c r="J38" s="2" t="s">
        <v>38</v>
      </c>
      <c r="K38" s="2" t="s">
        <v>20</v>
      </c>
      <c r="L38" s="8">
        <v>61.95</v>
      </c>
      <c r="M38" s="2">
        <v>36.28</v>
      </c>
      <c r="N38" s="2">
        <v>4.3</v>
      </c>
    </row>
    <row r="39" spans="1:14" x14ac:dyDescent="0.3">
      <c r="A39" s="5" t="s">
        <v>21</v>
      </c>
      <c r="B39" s="5" t="s">
        <v>22</v>
      </c>
      <c r="C39" s="5" t="s">
        <v>39</v>
      </c>
      <c r="D39" s="6">
        <v>45459</v>
      </c>
      <c r="E39" s="5">
        <v>9.1999999999999993</v>
      </c>
      <c r="F39" s="5">
        <v>7.4</v>
      </c>
      <c r="G39" s="5">
        <v>1.2</v>
      </c>
      <c r="H39" s="5" t="s">
        <v>42</v>
      </c>
      <c r="I39" s="5" t="s">
        <v>34</v>
      </c>
      <c r="J39" s="5" t="s">
        <v>19</v>
      </c>
      <c r="K39" s="5" t="s">
        <v>35</v>
      </c>
      <c r="L39" s="7">
        <v>80.430000000000007</v>
      </c>
      <c r="M39" s="5">
        <v>13.04</v>
      </c>
      <c r="N39" s="5">
        <v>1.8</v>
      </c>
    </row>
    <row r="40" spans="1:14" x14ac:dyDescent="0.3">
      <c r="A40" s="2" t="s">
        <v>59</v>
      </c>
      <c r="B40" s="2" t="s">
        <v>60</v>
      </c>
      <c r="C40" s="2" t="s">
        <v>16</v>
      </c>
      <c r="D40" s="3">
        <v>45319</v>
      </c>
      <c r="E40" s="2">
        <v>10.5</v>
      </c>
      <c r="F40" s="2">
        <v>5.2</v>
      </c>
      <c r="G40" s="2">
        <v>5</v>
      </c>
      <c r="H40" s="2" t="s">
        <v>37</v>
      </c>
      <c r="I40" s="2" t="s">
        <v>34</v>
      </c>
      <c r="J40" s="2" t="s">
        <v>40</v>
      </c>
      <c r="K40" s="2" t="s">
        <v>20</v>
      </c>
      <c r="L40" s="4">
        <v>49.52</v>
      </c>
      <c r="M40" s="2">
        <v>47.62</v>
      </c>
      <c r="N40" s="2">
        <v>5.3</v>
      </c>
    </row>
    <row r="41" spans="1:14" x14ac:dyDescent="0.3">
      <c r="A41" s="5" t="s">
        <v>26</v>
      </c>
      <c r="B41" s="5" t="s">
        <v>27</v>
      </c>
      <c r="C41" s="5" t="s">
        <v>41</v>
      </c>
      <c r="D41" s="6">
        <v>45454</v>
      </c>
      <c r="E41" s="5">
        <v>11.1</v>
      </c>
      <c r="F41" s="5">
        <v>7.8</v>
      </c>
      <c r="G41" s="5">
        <v>3</v>
      </c>
      <c r="H41" s="5" t="s">
        <v>56</v>
      </c>
      <c r="I41" s="5" t="s">
        <v>34</v>
      </c>
      <c r="J41" s="5" t="s">
        <v>50</v>
      </c>
      <c r="K41" s="5" t="s">
        <v>35</v>
      </c>
      <c r="L41" s="8">
        <v>70.27</v>
      </c>
      <c r="M41" s="5">
        <v>27.03</v>
      </c>
      <c r="N41" s="5">
        <v>3.3</v>
      </c>
    </row>
    <row r="42" spans="1:14" x14ac:dyDescent="0.3">
      <c r="A42" s="2" t="s">
        <v>14</v>
      </c>
      <c r="B42" s="2" t="s">
        <v>15</v>
      </c>
      <c r="C42" s="2" t="s">
        <v>23</v>
      </c>
      <c r="D42" s="3">
        <v>45362</v>
      </c>
      <c r="E42" s="2">
        <v>6.3</v>
      </c>
      <c r="F42" s="2">
        <v>3.8</v>
      </c>
      <c r="G42" s="2">
        <v>2.4</v>
      </c>
      <c r="H42" s="2" t="s">
        <v>61</v>
      </c>
      <c r="I42" s="2" t="s">
        <v>34</v>
      </c>
      <c r="J42" s="2" t="s">
        <v>29</v>
      </c>
      <c r="K42" s="2" t="s">
        <v>25</v>
      </c>
      <c r="L42" s="8">
        <v>60.32</v>
      </c>
      <c r="M42" s="2">
        <v>38.1</v>
      </c>
      <c r="N42" s="2">
        <v>2.5</v>
      </c>
    </row>
    <row r="43" spans="1:14" x14ac:dyDescent="0.3">
      <c r="A43" s="5" t="s">
        <v>57</v>
      </c>
      <c r="B43" s="5" t="s">
        <v>58</v>
      </c>
      <c r="C43" s="5" t="s">
        <v>41</v>
      </c>
      <c r="D43" s="6">
        <v>45401</v>
      </c>
      <c r="E43" s="5">
        <v>9.4</v>
      </c>
      <c r="F43" s="5">
        <v>4.4000000000000004</v>
      </c>
      <c r="G43" s="5">
        <v>4.0999999999999996</v>
      </c>
      <c r="H43" s="5" t="s">
        <v>42</v>
      </c>
      <c r="I43" s="5" t="s">
        <v>34</v>
      </c>
      <c r="J43" s="5" t="s">
        <v>29</v>
      </c>
      <c r="K43" s="5" t="s">
        <v>20</v>
      </c>
      <c r="L43" s="4">
        <v>46.81</v>
      </c>
      <c r="M43" s="5">
        <v>43.62</v>
      </c>
      <c r="N43" s="5">
        <v>5</v>
      </c>
    </row>
    <row r="44" spans="1:14" x14ac:dyDescent="0.3">
      <c r="A44" s="2" t="s">
        <v>57</v>
      </c>
      <c r="B44" s="2" t="s">
        <v>58</v>
      </c>
      <c r="C44" s="2" t="s">
        <v>16</v>
      </c>
      <c r="D44" s="3">
        <v>45386</v>
      </c>
      <c r="E44" s="2">
        <v>9.5</v>
      </c>
      <c r="F44" s="2">
        <v>4.5999999999999996</v>
      </c>
      <c r="G44" s="2">
        <v>4.8</v>
      </c>
      <c r="H44" s="2" t="s">
        <v>61</v>
      </c>
      <c r="I44" s="2" t="s">
        <v>34</v>
      </c>
      <c r="J44" s="2" t="s">
        <v>40</v>
      </c>
      <c r="K44" s="2" t="s">
        <v>20</v>
      </c>
      <c r="L44" s="4">
        <v>48.42</v>
      </c>
      <c r="M44" s="2">
        <v>50.53</v>
      </c>
      <c r="N44" s="2">
        <v>4.9000000000000004</v>
      </c>
    </row>
    <row r="45" spans="1:14" x14ac:dyDescent="0.3">
      <c r="A45" s="5" t="s">
        <v>45</v>
      </c>
      <c r="B45" s="5" t="s">
        <v>46</v>
      </c>
      <c r="C45" s="5" t="s">
        <v>32</v>
      </c>
      <c r="D45" s="6">
        <v>45345</v>
      </c>
      <c r="E45" s="5">
        <v>10.1</v>
      </c>
      <c r="F45" s="5">
        <v>8.1</v>
      </c>
      <c r="G45" s="5">
        <v>1.6</v>
      </c>
      <c r="H45" s="5" t="s">
        <v>48</v>
      </c>
      <c r="I45" s="5" t="s">
        <v>34</v>
      </c>
      <c r="J45" s="5" t="s">
        <v>49</v>
      </c>
      <c r="K45" s="5" t="s">
        <v>35</v>
      </c>
      <c r="L45" s="7">
        <v>80.2</v>
      </c>
      <c r="M45" s="5">
        <v>15.84</v>
      </c>
      <c r="N45" s="5">
        <v>2</v>
      </c>
    </row>
    <row r="46" spans="1:14" x14ac:dyDescent="0.3">
      <c r="A46" s="2" t="s">
        <v>26</v>
      </c>
      <c r="B46" s="2" t="s">
        <v>27</v>
      </c>
      <c r="C46" s="2" t="s">
        <v>39</v>
      </c>
      <c r="D46" s="3">
        <v>45333</v>
      </c>
      <c r="E46" s="2">
        <v>11.9</v>
      </c>
      <c r="F46" s="2">
        <v>10.5</v>
      </c>
      <c r="G46" s="2">
        <v>0.5</v>
      </c>
      <c r="H46" s="2" t="s">
        <v>17</v>
      </c>
      <c r="I46" s="2" t="s">
        <v>18</v>
      </c>
      <c r="J46" s="2" t="s">
        <v>29</v>
      </c>
      <c r="K46" s="2" t="s">
        <v>35</v>
      </c>
      <c r="L46" s="7">
        <v>88.24</v>
      </c>
      <c r="M46" s="2">
        <v>4.2</v>
      </c>
      <c r="N46" s="2">
        <v>1.4</v>
      </c>
    </row>
    <row r="47" spans="1:14" x14ac:dyDescent="0.3">
      <c r="A47" s="5" t="s">
        <v>54</v>
      </c>
      <c r="B47" s="5" t="s">
        <v>55</v>
      </c>
      <c r="C47" s="5" t="s">
        <v>39</v>
      </c>
      <c r="D47" s="6">
        <v>45463</v>
      </c>
      <c r="E47" s="5">
        <v>11.2</v>
      </c>
      <c r="F47" s="5">
        <v>9.9</v>
      </c>
      <c r="G47" s="5">
        <v>1</v>
      </c>
      <c r="H47" s="5" t="s">
        <v>56</v>
      </c>
      <c r="I47" s="5" t="s">
        <v>34</v>
      </c>
      <c r="J47" s="5" t="s">
        <v>19</v>
      </c>
      <c r="K47" s="5" t="s">
        <v>25</v>
      </c>
      <c r="L47" s="7">
        <v>88.39</v>
      </c>
      <c r="M47" s="5">
        <v>8.93</v>
      </c>
      <c r="N47" s="5">
        <v>1.3</v>
      </c>
    </row>
    <row r="48" spans="1:14" x14ac:dyDescent="0.3">
      <c r="A48" s="2" t="s">
        <v>45</v>
      </c>
      <c r="B48" s="2" t="s">
        <v>46</v>
      </c>
      <c r="C48" s="2" t="s">
        <v>39</v>
      </c>
      <c r="D48" s="3">
        <v>45412</v>
      </c>
      <c r="E48" s="2">
        <v>7.3</v>
      </c>
      <c r="F48" s="2">
        <v>6.5</v>
      </c>
      <c r="G48" s="2">
        <v>0.3</v>
      </c>
      <c r="H48" s="2" t="s">
        <v>61</v>
      </c>
      <c r="I48" s="2" t="s">
        <v>34</v>
      </c>
      <c r="J48" s="2" t="s">
        <v>24</v>
      </c>
      <c r="K48" s="2" t="s">
        <v>35</v>
      </c>
      <c r="L48" s="7">
        <v>89.04</v>
      </c>
      <c r="M48" s="2">
        <v>4.1100000000000003</v>
      </c>
      <c r="N48" s="2">
        <v>0.8</v>
      </c>
    </row>
    <row r="49" spans="1:14" x14ac:dyDescent="0.3">
      <c r="A49" s="5" t="s">
        <v>45</v>
      </c>
      <c r="B49" s="5" t="s">
        <v>46</v>
      </c>
      <c r="C49" s="5" t="s">
        <v>41</v>
      </c>
      <c r="D49" s="6">
        <v>45341</v>
      </c>
      <c r="E49" s="5">
        <v>8.4</v>
      </c>
      <c r="F49" s="5">
        <v>4.8</v>
      </c>
      <c r="G49" s="5">
        <v>3.5</v>
      </c>
      <c r="H49" s="5" t="s">
        <v>56</v>
      </c>
      <c r="I49" s="5" t="s">
        <v>34</v>
      </c>
      <c r="J49" s="5" t="s">
        <v>38</v>
      </c>
      <c r="K49" s="5" t="s">
        <v>20</v>
      </c>
      <c r="L49" s="4">
        <v>57.14</v>
      </c>
      <c r="M49" s="5">
        <v>41.67</v>
      </c>
      <c r="N49" s="5">
        <v>3.6</v>
      </c>
    </row>
    <row r="50" spans="1:14" x14ac:dyDescent="0.3">
      <c r="A50" s="2" t="s">
        <v>30</v>
      </c>
      <c r="B50" s="2" t="s">
        <v>31</v>
      </c>
      <c r="C50" s="2" t="s">
        <v>41</v>
      </c>
      <c r="D50" s="3">
        <v>45422</v>
      </c>
      <c r="E50" s="2">
        <v>8.4</v>
      </c>
      <c r="F50" s="2">
        <v>8.3000000000000007</v>
      </c>
      <c r="G50" s="2">
        <v>0</v>
      </c>
      <c r="H50" s="2" t="s">
        <v>28</v>
      </c>
      <c r="I50" s="2" t="s">
        <v>28</v>
      </c>
      <c r="J50" s="2" t="s">
        <v>50</v>
      </c>
      <c r="K50" s="2" t="s">
        <v>35</v>
      </c>
      <c r="L50" s="7">
        <v>98.81</v>
      </c>
      <c r="M50" s="2">
        <v>0</v>
      </c>
      <c r="N50" s="2">
        <v>0.1</v>
      </c>
    </row>
    <row r="51" spans="1:14" x14ac:dyDescent="0.3">
      <c r="A51" s="5" t="s">
        <v>59</v>
      </c>
      <c r="B51" s="5" t="s">
        <v>60</v>
      </c>
      <c r="C51" s="5" t="s">
        <v>47</v>
      </c>
      <c r="D51" s="6">
        <v>45440</v>
      </c>
      <c r="E51" s="5">
        <v>11.8</v>
      </c>
      <c r="F51" s="5">
        <v>6.6</v>
      </c>
      <c r="G51" s="5">
        <v>5.0999999999999996</v>
      </c>
      <c r="H51" s="5" t="s">
        <v>33</v>
      </c>
      <c r="I51" s="5" t="s">
        <v>34</v>
      </c>
      <c r="J51" s="5" t="s">
        <v>40</v>
      </c>
      <c r="K51" s="5" t="s">
        <v>20</v>
      </c>
      <c r="L51" s="4">
        <v>55.93</v>
      </c>
      <c r="M51" s="5">
        <v>43.22</v>
      </c>
      <c r="N51" s="5">
        <v>5.2</v>
      </c>
    </row>
    <row r="52" spans="1:14" x14ac:dyDescent="0.3">
      <c r="A52" s="2" t="s">
        <v>62</v>
      </c>
      <c r="B52" s="2" t="s">
        <v>63</v>
      </c>
      <c r="C52" s="2" t="s">
        <v>39</v>
      </c>
      <c r="D52" s="3">
        <v>45372</v>
      </c>
      <c r="E52" s="2">
        <v>8.6</v>
      </c>
      <c r="F52" s="2">
        <v>8.5</v>
      </c>
      <c r="G52" s="2">
        <v>0</v>
      </c>
      <c r="H52" s="2" t="s">
        <v>28</v>
      </c>
      <c r="I52" s="2" t="s">
        <v>28</v>
      </c>
      <c r="J52" s="2" t="s">
        <v>24</v>
      </c>
      <c r="K52" s="2" t="s">
        <v>35</v>
      </c>
      <c r="L52" s="7">
        <v>98.84</v>
      </c>
      <c r="M52" s="2">
        <v>0</v>
      </c>
      <c r="N52" s="2">
        <v>0.1</v>
      </c>
    </row>
    <row r="53" spans="1:14" x14ac:dyDescent="0.3">
      <c r="A53" s="5" t="s">
        <v>45</v>
      </c>
      <c r="B53" s="5" t="s">
        <v>46</v>
      </c>
      <c r="C53" s="5" t="s">
        <v>41</v>
      </c>
      <c r="D53" s="6">
        <v>45403</v>
      </c>
      <c r="E53" s="5">
        <v>6</v>
      </c>
      <c r="F53" s="5">
        <v>5.7</v>
      </c>
      <c r="G53" s="5">
        <v>0</v>
      </c>
      <c r="H53" s="5" t="s">
        <v>28</v>
      </c>
      <c r="I53" s="5" t="s">
        <v>28</v>
      </c>
      <c r="J53" s="5" t="s">
        <v>24</v>
      </c>
      <c r="K53" s="5" t="s">
        <v>35</v>
      </c>
      <c r="L53" s="7">
        <v>95</v>
      </c>
      <c r="M53" s="5">
        <v>0</v>
      </c>
      <c r="N53" s="5">
        <v>0.3</v>
      </c>
    </row>
    <row r="54" spans="1:14" x14ac:dyDescent="0.3">
      <c r="A54" s="2" t="s">
        <v>54</v>
      </c>
      <c r="B54" s="2" t="s">
        <v>55</v>
      </c>
      <c r="C54" s="2" t="s">
        <v>16</v>
      </c>
      <c r="D54" s="3">
        <v>45462</v>
      </c>
      <c r="E54" s="2">
        <v>11.5</v>
      </c>
      <c r="F54" s="2">
        <v>8.9</v>
      </c>
      <c r="G54" s="2">
        <v>1.9</v>
      </c>
      <c r="H54" s="2" t="s">
        <v>17</v>
      </c>
      <c r="I54" s="2" t="s">
        <v>18</v>
      </c>
      <c r="J54" s="2" t="s">
        <v>38</v>
      </c>
      <c r="K54" s="2" t="s">
        <v>35</v>
      </c>
      <c r="L54" s="8">
        <v>77.39</v>
      </c>
      <c r="M54" s="2">
        <v>16.52</v>
      </c>
      <c r="N54" s="2">
        <v>2.6</v>
      </c>
    </row>
    <row r="55" spans="1:14" x14ac:dyDescent="0.3">
      <c r="A55" s="5" t="s">
        <v>14</v>
      </c>
      <c r="B55" s="5" t="s">
        <v>15</v>
      </c>
      <c r="C55" s="5" t="s">
        <v>23</v>
      </c>
      <c r="D55" s="6">
        <v>45375</v>
      </c>
      <c r="E55" s="5">
        <v>8.4</v>
      </c>
      <c r="F55" s="5">
        <v>4.9000000000000004</v>
      </c>
      <c r="G55" s="5">
        <v>3.4</v>
      </c>
      <c r="H55" s="5" t="s">
        <v>33</v>
      </c>
      <c r="I55" s="5" t="s">
        <v>34</v>
      </c>
      <c r="J55" s="5" t="s">
        <v>49</v>
      </c>
      <c r="K55" s="5" t="s">
        <v>20</v>
      </c>
      <c r="L55" s="4">
        <v>58.33</v>
      </c>
      <c r="M55" s="5">
        <v>40.479999999999997</v>
      </c>
      <c r="N55" s="5">
        <v>3.5</v>
      </c>
    </row>
    <row r="56" spans="1:14" x14ac:dyDescent="0.3">
      <c r="A56" s="2" t="s">
        <v>14</v>
      </c>
      <c r="B56" s="2" t="s">
        <v>15</v>
      </c>
      <c r="C56" s="2" t="s">
        <v>41</v>
      </c>
      <c r="D56" s="3">
        <v>45336</v>
      </c>
      <c r="E56" s="2">
        <v>9.6999999999999993</v>
      </c>
      <c r="F56" s="2">
        <v>5.6</v>
      </c>
      <c r="G56" s="2">
        <v>3.6</v>
      </c>
      <c r="H56" s="2" t="s">
        <v>17</v>
      </c>
      <c r="I56" s="2" t="s">
        <v>18</v>
      </c>
      <c r="J56" s="2" t="s">
        <v>38</v>
      </c>
      <c r="K56" s="2" t="s">
        <v>20</v>
      </c>
      <c r="L56" s="4">
        <v>57.73</v>
      </c>
      <c r="M56" s="2">
        <v>37.11</v>
      </c>
      <c r="N56" s="2">
        <v>4.0999999999999996</v>
      </c>
    </row>
    <row r="57" spans="1:14" x14ac:dyDescent="0.3">
      <c r="A57" s="5" t="s">
        <v>59</v>
      </c>
      <c r="B57" s="5" t="s">
        <v>60</v>
      </c>
      <c r="C57" s="5" t="s">
        <v>47</v>
      </c>
      <c r="D57" s="6">
        <v>45402</v>
      </c>
      <c r="E57" s="5">
        <v>10.7</v>
      </c>
      <c r="F57" s="5">
        <v>8.1999999999999993</v>
      </c>
      <c r="G57" s="5">
        <v>2.2000000000000002</v>
      </c>
      <c r="H57" s="5" t="s">
        <v>33</v>
      </c>
      <c r="I57" s="5" t="s">
        <v>34</v>
      </c>
      <c r="J57" s="5" t="s">
        <v>51</v>
      </c>
      <c r="K57" s="5" t="s">
        <v>35</v>
      </c>
      <c r="L57" s="8">
        <v>76.64</v>
      </c>
      <c r="M57" s="5">
        <v>20.56</v>
      </c>
      <c r="N57" s="5">
        <v>2.5</v>
      </c>
    </row>
    <row r="58" spans="1:14" x14ac:dyDescent="0.3">
      <c r="A58" s="2" t="s">
        <v>57</v>
      </c>
      <c r="B58" s="2" t="s">
        <v>58</v>
      </c>
      <c r="C58" s="2" t="s">
        <v>23</v>
      </c>
      <c r="D58" s="3">
        <v>45335</v>
      </c>
      <c r="E58" s="2">
        <v>10</v>
      </c>
      <c r="F58" s="2">
        <v>5.7</v>
      </c>
      <c r="G58" s="2">
        <v>3.6</v>
      </c>
      <c r="H58" s="2" t="s">
        <v>48</v>
      </c>
      <c r="I58" s="2" t="s">
        <v>34</v>
      </c>
      <c r="J58" s="2" t="s">
        <v>40</v>
      </c>
      <c r="K58" s="2" t="s">
        <v>20</v>
      </c>
      <c r="L58" s="4">
        <v>57</v>
      </c>
      <c r="M58" s="2">
        <v>36</v>
      </c>
      <c r="N58" s="2">
        <v>4.3</v>
      </c>
    </row>
    <row r="59" spans="1:14" x14ac:dyDescent="0.3">
      <c r="A59" s="5" t="s">
        <v>52</v>
      </c>
      <c r="B59" s="5" t="s">
        <v>53</v>
      </c>
      <c r="C59" s="5" t="s">
        <v>39</v>
      </c>
      <c r="D59" s="6">
        <v>45352</v>
      </c>
      <c r="E59" s="5">
        <v>10</v>
      </c>
      <c r="F59" s="5">
        <v>5.3</v>
      </c>
      <c r="G59" s="5">
        <v>4.5</v>
      </c>
      <c r="H59" s="5" t="s">
        <v>17</v>
      </c>
      <c r="I59" s="5" t="s">
        <v>18</v>
      </c>
      <c r="J59" s="5" t="s">
        <v>50</v>
      </c>
      <c r="K59" s="5" t="s">
        <v>20</v>
      </c>
      <c r="L59" s="4">
        <v>53</v>
      </c>
      <c r="M59" s="5">
        <v>45</v>
      </c>
      <c r="N59" s="5">
        <v>4.7</v>
      </c>
    </row>
    <row r="60" spans="1:14" x14ac:dyDescent="0.3">
      <c r="A60" s="2" t="s">
        <v>26</v>
      </c>
      <c r="B60" s="2" t="s">
        <v>27</v>
      </c>
      <c r="C60" s="2" t="s">
        <v>23</v>
      </c>
      <c r="D60" s="3">
        <v>45448</v>
      </c>
      <c r="E60" s="2">
        <v>11.1</v>
      </c>
      <c r="F60" s="2">
        <v>4.9000000000000004</v>
      </c>
      <c r="G60" s="2">
        <v>5.8</v>
      </c>
      <c r="H60" s="2" t="s">
        <v>42</v>
      </c>
      <c r="I60" s="2" t="s">
        <v>34</v>
      </c>
      <c r="J60" s="2" t="s">
        <v>24</v>
      </c>
      <c r="K60" s="2" t="s">
        <v>20</v>
      </c>
      <c r="L60" s="4">
        <v>44.14</v>
      </c>
      <c r="M60" s="2">
        <v>52.25</v>
      </c>
      <c r="N60" s="2">
        <v>6.2</v>
      </c>
    </row>
    <row r="61" spans="1:14" x14ac:dyDescent="0.3">
      <c r="A61" s="5" t="s">
        <v>62</v>
      </c>
      <c r="B61" s="5" t="s">
        <v>63</v>
      </c>
      <c r="C61" s="5" t="s">
        <v>41</v>
      </c>
      <c r="D61" s="6">
        <v>45390</v>
      </c>
      <c r="E61" s="5">
        <v>9</v>
      </c>
      <c r="F61" s="5">
        <v>4.9000000000000004</v>
      </c>
      <c r="G61" s="5">
        <v>3.4</v>
      </c>
      <c r="H61" s="5" t="s">
        <v>17</v>
      </c>
      <c r="I61" s="5" t="s">
        <v>18</v>
      </c>
      <c r="J61" s="5" t="s">
        <v>19</v>
      </c>
      <c r="K61" s="5" t="s">
        <v>20</v>
      </c>
      <c r="L61" s="4">
        <v>54.44</v>
      </c>
      <c r="M61" s="5">
        <v>37.78</v>
      </c>
      <c r="N61" s="5">
        <v>4.0999999999999996</v>
      </c>
    </row>
    <row r="62" spans="1:14" x14ac:dyDescent="0.3">
      <c r="A62" s="2" t="s">
        <v>54</v>
      </c>
      <c r="B62" s="2" t="s">
        <v>55</v>
      </c>
      <c r="C62" s="2" t="s">
        <v>47</v>
      </c>
      <c r="D62" s="3">
        <v>45337</v>
      </c>
      <c r="E62" s="2">
        <v>10.8</v>
      </c>
      <c r="F62" s="2">
        <v>8.8000000000000007</v>
      </c>
      <c r="G62" s="2">
        <v>1.5</v>
      </c>
      <c r="H62" s="2" t="s">
        <v>48</v>
      </c>
      <c r="I62" s="2" t="s">
        <v>34</v>
      </c>
      <c r="J62" s="2" t="s">
        <v>24</v>
      </c>
      <c r="K62" s="2" t="s">
        <v>35</v>
      </c>
      <c r="L62" s="7">
        <v>81.48</v>
      </c>
      <c r="M62" s="2">
        <v>13.89</v>
      </c>
      <c r="N62" s="2">
        <v>2</v>
      </c>
    </row>
    <row r="63" spans="1:14" x14ac:dyDescent="0.3">
      <c r="A63" s="5" t="s">
        <v>64</v>
      </c>
      <c r="B63" s="5" t="s">
        <v>65</v>
      </c>
      <c r="C63" s="5" t="s">
        <v>47</v>
      </c>
      <c r="D63" s="6">
        <v>45410</v>
      </c>
      <c r="E63" s="5">
        <v>10</v>
      </c>
      <c r="F63" s="5">
        <v>9.9</v>
      </c>
      <c r="G63" s="5">
        <v>0</v>
      </c>
      <c r="H63" s="5" t="s">
        <v>28</v>
      </c>
      <c r="I63" s="5" t="s">
        <v>28</v>
      </c>
      <c r="J63" s="5" t="s">
        <v>51</v>
      </c>
      <c r="K63" s="5" t="s">
        <v>25</v>
      </c>
      <c r="L63" s="7">
        <v>99</v>
      </c>
      <c r="M63" s="5">
        <v>0</v>
      </c>
      <c r="N63" s="5">
        <v>0.1</v>
      </c>
    </row>
    <row r="64" spans="1:14" x14ac:dyDescent="0.3">
      <c r="A64" s="2" t="s">
        <v>57</v>
      </c>
      <c r="B64" s="2" t="s">
        <v>58</v>
      </c>
      <c r="C64" s="2" t="s">
        <v>23</v>
      </c>
      <c r="D64" s="3">
        <v>45332</v>
      </c>
      <c r="E64" s="2">
        <v>10.5</v>
      </c>
      <c r="F64" s="2">
        <v>7.2</v>
      </c>
      <c r="G64" s="2">
        <v>3</v>
      </c>
      <c r="H64" s="2" t="s">
        <v>37</v>
      </c>
      <c r="I64" s="2" t="s">
        <v>34</v>
      </c>
      <c r="J64" s="2" t="s">
        <v>38</v>
      </c>
      <c r="K64" s="2" t="s">
        <v>25</v>
      </c>
      <c r="L64" s="8">
        <v>68.569999999999993</v>
      </c>
      <c r="M64" s="2">
        <v>28.57</v>
      </c>
      <c r="N64" s="2">
        <v>3.3</v>
      </c>
    </row>
    <row r="65" spans="1:14" x14ac:dyDescent="0.3">
      <c r="A65" s="5" t="s">
        <v>14</v>
      </c>
      <c r="B65" s="5" t="s">
        <v>15</v>
      </c>
      <c r="C65" s="5" t="s">
        <v>47</v>
      </c>
      <c r="D65" s="6">
        <v>45362</v>
      </c>
      <c r="E65" s="5">
        <v>8.6</v>
      </c>
      <c r="F65" s="5">
        <v>7.1</v>
      </c>
      <c r="G65" s="5">
        <v>1.3</v>
      </c>
      <c r="H65" s="5" t="s">
        <v>61</v>
      </c>
      <c r="I65" s="5" t="s">
        <v>34</v>
      </c>
      <c r="J65" s="5" t="s">
        <v>40</v>
      </c>
      <c r="K65" s="5" t="s">
        <v>35</v>
      </c>
      <c r="L65" s="7">
        <v>82.56</v>
      </c>
      <c r="M65" s="5">
        <v>15.12</v>
      </c>
      <c r="N65" s="5">
        <v>1.5</v>
      </c>
    </row>
    <row r="66" spans="1:14" x14ac:dyDescent="0.3">
      <c r="A66" s="2" t="s">
        <v>43</v>
      </c>
      <c r="B66" s="2" t="s">
        <v>44</v>
      </c>
      <c r="C66" s="2" t="s">
        <v>47</v>
      </c>
      <c r="D66" s="3">
        <v>45351</v>
      </c>
      <c r="E66" s="2">
        <v>8.3000000000000007</v>
      </c>
      <c r="F66" s="2">
        <v>4.0999999999999996</v>
      </c>
      <c r="G66" s="2">
        <v>4</v>
      </c>
      <c r="H66" s="2" t="s">
        <v>33</v>
      </c>
      <c r="I66" s="2" t="s">
        <v>34</v>
      </c>
      <c r="J66" s="2" t="s">
        <v>49</v>
      </c>
      <c r="K66" s="2" t="s">
        <v>20</v>
      </c>
      <c r="L66" s="4">
        <v>49.4</v>
      </c>
      <c r="M66" s="2">
        <v>48.19</v>
      </c>
      <c r="N66" s="2">
        <v>4.2</v>
      </c>
    </row>
    <row r="67" spans="1:14" x14ac:dyDescent="0.3">
      <c r="A67" s="5" t="s">
        <v>30</v>
      </c>
      <c r="B67" s="5" t="s">
        <v>31</v>
      </c>
      <c r="C67" s="5" t="s">
        <v>36</v>
      </c>
      <c r="D67" s="6">
        <v>45411</v>
      </c>
      <c r="E67" s="5">
        <v>8.5</v>
      </c>
      <c r="F67" s="5">
        <v>4.5</v>
      </c>
      <c r="G67" s="5">
        <v>3.6</v>
      </c>
      <c r="H67" s="5" t="s">
        <v>56</v>
      </c>
      <c r="I67" s="5" t="s">
        <v>34</v>
      </c>
      <c r="J67" s="5" t="s">
        <v>50</v>
      </c>
      <c r="K67" s="5" t="s">
        <v>20</v>
      </c>
      <c r="L67" s="4">
        <v>52.94</v>
      </c>
      <c r="M67" s="5">
        <v>42.35</v>
      </c>
      <c r="N67" s="5">
        <v>4</v>
      </c>
    </row>
    <row r="68" spans="1:14" x14ac:dyDescent="0.3">
      <c r="A68" s="2" t="s">
        <v>21</v>
      </c>
      <c r="B68" s="2" t="s">
        <v>22</v>
      </c>
      <c r="C68" s="2" t="s">
        <v>23</v>
      </c>
      <c r="D68" s="3">
        <v>45414</v>
      </c>
      <c r="E68" s="2">
        <v>6</v>
      </c>
      <c r="F68" s="2">
        <v>3.7</v>
      </c>
      <c r="G68" s="2">
        <v>1.5</v>
      </c>
      <c r="H68" s="2" t="s">
        <v>56</v>
      </c>
      <c r="I68" s="2" t="s">
        <v>34</v>
      </c>
      <c r="J68" s="2" t="s">
        <v>49</v>
      </c>
      <c r="K68" s="2" t="s">
        <v>35</v>
      </c>
      <c r="L68" s="8">
        <v>61.67</v>
      </c>
      <c r="M68" s="2">
        <v>25</v>
      </c>
      <c r="N68" s="2">
        <v>2.2999999999999998</v>
      </c>
    </row>
    <row r="69" spans="1:14" x14ac:dyDescent="0.3">
      <c r="A69" s="5" t="s">
        <v>64</v>
      </c>
      <c r="B69" s="5" t="s">
        <v>65</v>
      </c>
      <c r="C69" s="5" t="s">
        <v>47</v>
      </c>
      <c r="D69" s="6">
        <v>45361</v>
      </c>
      <c r="E69" s="5">
        <v>8.6</v>
      </c>
      <c r="F69" s="5">
        <v>3.6</v>
      </c>
      <c r="G69" s="5">
        <v>4.7</v>
      </c>
      <c r="H69" s="5" t="s">
        <v>42</v>
      </c>
      <c r="I69" s="5" t="s">
        <v>34</v>
      </c>
      <c r="J69" s="5" t="s">
        <v>49</v>
      </c>
      <c r="K69" s="5" t="s">
        <v>20</v>
      </c>
      <c r="L69" s="4">
        <v>41.86</v>
      </c>
      <c r="M69" s="5">
        <v>54.65</v>
      </c>
      <c r="N69" s="5">
        <v>5</v>
      </c>
    </row>
    <row r="70" spans="1:14" x14ac:dyDescent="0.3">
      <c r="A70" s="2" t="s">
        <v>62</v>
      </c>
      <c r="B70" s="2" t="s">
        <v>63</v>
      </c>
      <c r="C70" s="2" t="s">
        <v>47</v>
      </c>
      <c r="D70" s="3">
        <v>45411</v>
      </c>
      <c r="E70" s="2">
        <v>11.5</v>
      </c>
      <c r="F70" s="2">
        <v>11.4</v>
      </c>
      <c r="G70" s="2">
        <v>0</v>
      </c>
      <c r="H70" s="2" t="s">
        <v>28</v>
      </c>
      <c r="I70" s="2" t="s">
        <v>28</v>
      </c>
      <c r="J70" s="2" t="s">
        <v>49</v>
      </c>
      <c r="K70" s="2" t="s">
        <v>35</v>
      </c>
      <c r="L70" s="7">
        <v>99.13</v>
      </c>
      <c r="M70" s="2">
        <v>0</v>
      </c>
      <c r="N70" s="2">
        <v>0.1</v>
      </c>
    </row>
    <row r="71" spans="1:14" x14ac:dyDescent="0.3">
      <c r="A71" s="5" t="s">
        <v>52</v>
      </c>
      <c r="B71" s="5" t="s">
        <v>53</v>
      </c>
      <c r="C71" s="5" t="s">
        <v>41</v>
      </c>
      <c r="D71" s="6">
        <v>45401</v>
      </c>
      <c r="E71" s="5">
        <v>6.8</v>
      </c>
      <c r="F71" s="5">
        <v>4.5999999999999996</v>
      </c>
      <c r="G71" s="5">
        <v>2.1</v>
      </c>
      <c r="H71" s="5" t="s">
        <v>33</v>
      </c>
      <c r="I71" s="5" t="s">
        <v>34</v>
      </c>
      <c r="J71" s="5" t="s">
        <v>40</v>
      </c>
      <c r="K71" s="5" t="s">
        <v>35</v>
      </c>
      <c r="L71" s="8">
        <v>67.650000000000006</v>
      </c>
      <c r="M71" s="5">
        <v>30.88</v>
      </c>
      <c r="N71" s="5">
        <v>2.2000000000000002</v>
      </c>
    </row>
    <row r="72" spans="1:14" x14ac:dyDescent="0.3">
      <c r="A72" s="2" t="s">
        <v>64</v>
      </c>
      <c r="B72" s="2" t="s">
        <v>65</v>
      </c>
      <c r="C72" s="2" t="s">
        <v>32</v>
      </c>
      <c r="D72" s="3">
        <v>45378</v>
      </c>
      <c r="E72" s="2">
        <v>10.6</v>
      </c>
      <c r="F72" s="2">
        <v>6.7</v>
      </c>
      <c r="G72" s="2">
        <v>3.1</v>
      </c>
      <c r="H72" s="2" t="s">
        <v>56</v>
      </c>
      <c r="I72" s="2" t="s">
        <v>34</v>
      </c>
      <c r="J72" s="2" t="s">
        <v>49</v>
      </c>
      <c r="K72" s="2" t="s">
        <v>20</v>
      </c>
      <c r="L72" s="8">
        <v>63.21</v>
      </c>
      <c r="M72" s="2">
        <v>29.25</v>
      </c>
      <c r="N72" s="2">
        <v>3.9</v>
      </c>
    </row>
    <row r="73" spans="1:14" x14ac:dyDescent="0.3">
      <c r="A73" s="5" t="s">
        <v>59</v>
      </c>
      <c r="B73" s="5" t="s">
        <v>60</v>
      </c>
      <c r="C73" s="5" t="s">
        <v>39</v>
      </c>
      <c r="D73" s="6">
        <v>45312</v>
      </c>
      <c r="E73" s="5">
        <v>8.8000000000000007</v>
      </c>
      <c r="F73" s="5">
        <v>7.5</v>
      </c>
      <c r="G73" s="5">
        <v>1.2</v>
      </c>
      <c r="H73" s="5" t="s">
        <v>61</v>
      </c>
      <c r="I73" s="5" t="s">
        <v>34</v>
      </c>
      <c r="J73" s="5" t="s">
        <v>24</v>
      </c>
      <c r="K73" s="5" t="s">
        <v>35</v>
      </c>
      <c r="L73" s="7">
        <v>85.23</v>
      </c>
      <c r="M73" s="5">
        <v>13.64</v>
      </c>
      <c r="N73" s="5">
        <v>1.3</v>
      </c>
    </row>
    <row r="74" spans="1:14" x14ac:dyDescent="0.3">
      <c r="A74" s="2" t="s">
        <v>14</v>
      </c>
      <c r="B74" s="2" t="s">
        <v>15</v>
      </c>
      <c r="C74" s="2" t="s">
        <v>16</v>
      </c>
      <c r="D74" s="3">
        <v>45299</v>
      </c>
      <c r="E74" s="2">
        <v>11.7</v>
      </c>
      <c r="F74" s="2">
        <v>6.1</v>
      </c>
      <c r="G74" s="2">
        <v>5.6</v>
      </c>
      <c r="H74" s="2" t="s">
        <v>37</v>
      </c>
      <c r="I74" s="2" t="s">
        <v>34</v>
      </c>
      <c r="J74" s="2" t="s">
        <v>24</v>
      </c>
      <c r="K74" s="2" t="s">
        <v>20</v>
      </c>
      <c r="L74" s="4">
        <v>52.14</v>
      </c>
      <c r="M74" s="2">
        <v>47.86</v>
      </c>
      <c r="N74" s="2">
        <v>5.6</v>
      </c>
    </row>
    <row r="75" spans="1:14" x14ac:dyDescent="0.3">
      <c r="A75" s="5" t="s">
        <v>43</v>
      </c>
      <c r="B75" s="5" t="s">
        <v>44</v>
      </c>
      <c r="C75" s="5" t="s">
        <v>23</v>
      </c>
      <c r="D75" s="6">
        <v>45463</v>
      </c>
      <c r="E75" s="5">
        <v>6.7</v>
      </c>
      <c r="F75" s="5">
        <v>6.5</v>
      </c>
      <c r="G75" s="5">
        <v>0</v>
      </c>
      <c r="H75" s="5" t="s">
        <v>28</v>
      </c>
      <c r="I75" s="5" t="s">
        <v>28</v>
      </c>
      <c r="J75" s="5" t="s">
        <v>38</v>
      </c>
      <c r="K75" s="5" t="s">
        <v>35</v>
      </c>
      <c r="L75" s="7">
        <v>97.01</v>
      </c>
      <c r="M75" s="5">
        <v>0</v>
      </c>
      <c r="N75" s="5">
        <v>0.2</v>
      </c>
    </row>
    <row r="76" spans="1:14" x14ac:dyDescent="0.3">
      <c r="A76" s="2" t="s">
        <v>43</v>
      </c>
      <c r="B76" s="2" t="s">
        <v>44</v>
      </c>
      <c r="C76" s="2" t="s">
        <v>36</v>
      </c>
      <c r="D76" s="3">
        <v>45447</v>
      </c>
      <c r="E76" s="2">
        <v>11.8</v>
      </c>
      <c r="F76" s="2">
        <v>9.8000000000000007</v>
      </c>
      <c r="G76" s="2">
        <v>1.2</v>
      </c>
      <c r="H76" s="2" t="s">
        <v>37</v>
      </c>
      <c r="I76" s="2" t="s">
        <v>34</v>
      </c>
      <c r="J76" s="2" t="s">
        <v>38</v>
      </c>
      <c r="K76" s="2" t="s">
        <v>35</v>
      </c>
      <c r="L76" s="7">
        <v>83.05</v>
      </c>
      <c r="M76" s="2">
        <v>10.17</v>
      </c>
      <c r="N76" s="2">
        <v>2</v>
      </c>
    </row>
    <row r="77" spans="1:14" x14ac:dyDescent="0.3">
      <c r="A77" s="5" t="s">
        <v>21</v>
      </c>
      <c r="B77" s="5" t="s">
        <v>22</v>
      </c>
      <c r="C77" s="5" t="s">
        <v>16</v>
      </c>
      <c r="D77" s="6">
        <v>45371</v>
      </c>
      <c r="E77" s="5">
        <v>9.5</v>
      </c>
      <c r="F77" s="5">
        <v>9</v>
      </c>
      <c r="G77" s="5">
        <v>0.1</v>
      </c>
      <c r="H77" s="5" t="s">
        <v>42</v>
      </c>
      <c r="I77" s="5" t="s">
        <v>34</v>
      </c>
      <c r="J77" s="5" t="s">
        <v>24</v>
      </c>
      <c r="K77" s="5" t="s">
        <v>35</v>
      </c>
      <c r="L77" s="7">
        <v>94.74</v>
      </c>
      <c r="M77" s="5">
        <v>1.05</v>
      </c>
      <c r="N77" s="5">
        <v>0.5</v>
      </c>
    </row>
    <row r="78" spans="1:14" x14ac:dyDescent="0.3">
      <c r="A78" s="2" t="s">
        <v>21</v>
      </c>
      <c r="B78" s="2" t="s">
        <v>22</v>
      </c>
      <c r="C78" s="2" t="s">
        <v>41</v>
      </c>
      <c r="D78" s="3">
        <v>45452</v>
      </c>
      <c r="E78" s="2">
        <v>7.5</v>
      </c>
      <c r="F78" s="2">
        <v>6.1</v>
      </c>
      <c r="G78" s="2">
        <v>1.1000000000000001</v>
      </c>
      <c r="H78" s="2" t="s">
        <v>42</v>
      </c>
      <c r="I78" s="2" t="s">
        <v>34</v>
      </c>
      <c r="J78" s="2" t="s">
        <v>19</v>
      </c>
      <c r="K78" s="2" t="s">
        <v>35</v>
      </c>
      <c r="L78" s="7">
        <v>81.33</v>
      </c>
      <c r="M78" s="2">
        <v>14.67</v>
      </c>
      <c r="N78" s="2">
        <v>1.4</v>
      </c>
    </row>
    <row r="79" spans="1:14" x14ac:dyDescent="0.3">
      <c r="A79" s="5" t="s">
        <v>30</v>
      </c>
      <c r="B79" s="5" t="s">
        <v>31</v>
      </c>
      <c r="C79" s="5" t="s">
        <v>36</v>
      </c>
      <c r="D79" s="6">
        <v>45401</v>
      </c>
      <c r="E79" s="5">
        <v>10</v>
      </c>
      <c r="F79" s="5">
        <v>4.4000000000000004</v>
      </c>
      <c r="G79" s="5">
        <v>5</v>
      </c>
      <c r="H79" s="5" t="s">
        <v>17</v>
      </c>
      <c r="I79" s="5" t="s">
        <v>18</v>
      </c>
      <c r="J79" s="5" t="s">
        <v>49</v>
      </c>
      <c r="K79" s="5" t="s">
        <v>20</v>
      </c>
      <c r="L79" s="4">
        <v>44</v>
      </c>
      <c r="M79" s="5">
        <v>50</v>
      </c>
      <c r="N79" s="5">
        <v>5.6</v>
      </c>
    </row>
    <row r="80" spans="1:14" x14ac:dyDescent="0.3">
      <c r="A80" s="2" t="s">
        <v>64</v>
      </c>
      <c r="B80" s="2" t="s">
        <v>65</v>
      </c>
      <c r="C80" s="2" t="s">
        <v>16</v>
      </c>
      <c r="D80" s="3">
        <v>45402</v>
      </c>
      <c r="E80" s="2">
        <v>11.8</v>
      </c>
      <c r="F80" s="2">
        <v>9.1999999999999993</v>
      </c>
      <c r="G80" s="2">
        <v>1.8</v>
      </c>
      <c r="H80" s="2" t="s">
        <v>42</v>
      </c>
      <c r="I80" s="2" t="s">
        <v>34</v>
      </c>
      <c r="J80" s="2" t="s">
        <v>29</v>
      </c>
      <c r="K80" s="2" t="s">
        <v>25</v>
      </c>
      <c r="L80" s="8">
        <v>77.97</v>
      </c>
      <c r="M80" s="2">
        <v>15.25</v>
      </c>
      <c r="N80" s="2">
        <v>2.6</v>
      </c>
    </row>
    <row r="81" spans="1:14" x14ac:dyDescent="0.3">
      <c r="A81" s="5" t="s">
        <v>43</v>
      </c>
      <c r="B81" s="5" t="s">
        <v>44</v>
      </c>
      <c r="C81" s="5" t="s">
        <v>41</v>
      </c>
      <c r="D81" s="6">
        <v>45425</v>
      </c>
      <c r="E81" s="5">
        <v>11.8</v>
      </c>
      <c r="F81" s="5">
        <v>6.6</v>
      </c>
      <c r="G81" s="5">
        <v>4.4000000000000004</v>
      </c>
      <c r="H81" s="5" t="s">
        <v>48</v>
      </c>
      <c r="I81" s="5" t="s">
        <v>34</v>
      </c>
      <c r="J81" s="5" t="s">
        <v>51</v>
      </c>
      <c r="K81" s="5" t="s">
        <v>20</v>
      </c>
      <c r="L81" s="4">
        <v>55.93</v>
      </c>
      <c r="M81" s="5">
        <v>37.29</v>
      </c>
      <c r="N81" s="5">
        <v>5.2</v>
      </c>
    </row>
    <row r="82" spans="1:14" x14ac:dyDescent="0.3">
      <c r="A82" s="2" t="s">
        <v>64</v>
      </c>
      <c r="B82" s="2" t="s">
        <v>65</v>
      </c>
      <c r="C82" s="2" t="s">
        <v>23</v>
      </c>
      <c r="D82" s="3">
        <v>45443</v>
      </c>
      <c r="E82" s="2">
        <v>7.6</v>
      </c>
      <c r="F82" s="2">
        <v>6.9</v>
      </c>
      <c r="G82" s="2">
        <v>0</v>
      </c>
      <c r="H82" s="2" t="s">
        <v>28</v>
      </c>
      <c r="I82" s="2" t="s">
        <v>28</v>
      </c>
      <c r="J82" s="2" t="s">
        <v>19</v>
      </c>
      <c r="K82" s="2" t="s">
        <v>35</v>
      </c>
      <c r="L82" s="7">
        <v>90.79</v>
      </c>
      <c r="M82" s="2">
        <v>0</v>
      </c>
      <c r="N82" s="2">
        <v>0.7</v>
      </c>
    </row>
    <row r="83" spans="1:14" x14ac:dyDescent="0.3">
      <c r="A83" s="5" t="s">
        <v>64</v>
      </c>
      <c r="B83" s="5" t="s">
        <v>65</v>
      </c>
      <c r="C83" s="5" t="s">
        <v>47</v>
      </c>
      <c r="D83" s="6">
        <v>45410</v>
      </c>
      <c r="E83" s="5">
        <v>9.4</v>
      </c>
      <c r="F83" s="5">
        <v>7.5</v>
      </c>
      <c r="G83" s="5">
        <v>1.6</v>
      </c>
      <c r="H83" s="5" t="s">
        <v>33</v>
      </c>
      <c r="I83" s="5" t="s">
        <v>34</v>
      </c>
      <c r="J83" s="5" t="s">
        <v>40</v>
      </c>
      <c r="K83" s="5" t="s">
        <v>35</v>
      </c>
      <c r="L83" s="8">
        <v>79.790000000000006</v>
      </c>
      <c r="M83" s="5">
        <v>17.02</v>
      </c>
      <c r="N83" s="5">
        <v>1.9</v>
      </c>
    </row>
    <row r="84" spans="1:14" x14ac:dyDescent="0.3">
      <c r="A84" s="2" t="s">
        <v>64</v>
      </c>
      <c r="B84" s="2" t="s">
        <v>65</v>
      </c>
      <c r="C84" s="2" t="s">
        <v>47</v>
      </c>
      <c r="D84" s="3">
        <v>45382</v>
      </c>
      <c r="E84" s="2">
        <v>10.8</v>
      </c>
      <c r="F84" s="2">
        <v>6.5</v>
      </c>
      <c r="G84" s="2">
        <v>3.4</v>
      </c>
      <c r="H84" s="2" t="s">
        <v>42</v>
      </c>
      <c r="I84" s="2" t="s">
        <v>34</v>
      </c>
      <c r="J84" s="2" t="s">
        <v>38</v>
      </c>
      <c r="K84" s="2" t="s">
        <v>20</v>
      </c>
      <c r="L84" s="8">
        <v>60.19</v>
      </c>
      <c r="M84" s="2">
        <v>31.48</v>
      </c>
      <c r="N84" s="2">
        <v>4.3</v>
      </c>
    </row>
    <row r="85" spans="1:14" x14ac:dyDescent="0.3">
      <c r="A85" s="5" t="s">
        <v>57</v>
      </c>
      <c r="B85" s="5" t="s">
        <v>58</v>
      </c>
      <c r="C85" s="5" t="s">
        <v>16</v>
      </c>
      <c r="D85" s="6">
        <v>45424</v>
      </c>
      <c r="E85" s="5">
        <v>11.7</v>
      </c>
      <c r="F85" s="5">
        <v>5.3</v>
      </c>
      <c r="G85" s="5">
        <v>5.7</v>
      </c>
      <c r="H85" s="5" t="s">
        <v>33</v>
      </c>
      <c r="I85" s="5" t="s">
        <v>34</v>
      </c>
      <c r="J85" s="5" t="s">
        <v>24</v>
      </c>
      <c r="K85" s="5" t="s">
        <v>20</v>
      </c>
      <c r="L85" s="4">
        <v>45.3</v>
      </c>
      <c r="M85" s="5">
        <v>48.72</v>
      </c>
      <c r="N85" s="5">
        <v>6.4</v>
      </c>
    </row>
    <row r="86" spans="1:14" x14ac:dyDescent="0.3">
      <c r="A86" s="2" t="s">
        <v>62</v>
      </c>
      <c r="B86" s="2" t="s">
        <v>63</v>
      </c>
      <c r="C86" s="2" t="s">
        <v>23</v>
      </c>
      <c r="D86" s="3">
        <v>45457</v>
      </c>
      <c r="E86" s="2">
        <v>10.3</v>
      </c>
      <c r="F86" s="2">
        <v>6.9</v>
      </c>
      <c r="G86" s="2">
        <v>3.4</v>
      </c>
      <c r="H86" s="2" t="s">
        <v>61</v>
      </c>
      <c r="I86" s="2" t="s">
        <v>34</v>
      </c>
      <c r="J86" s="2" t="s">
        <v>24</v>
      </c>
      <c r="K86" s="2" t="s">
        <v>20</v>
      </c>
      <c r="L86" s="8">
        <v>66.989999999999995</v>
      </c>
      <c r="M86" s="2">
        <v>33.01</v>
      </c>
      <c r="N86" s="2">
        <v>3.4</v>
      </c>
    </row>
    <row r="87" spans="1:14" x14ac:dyDescent="0.3">
      <c r="A87" s="5" t="s">
        <v>54</v>
      </c>
      <c r="B87" s="5" t="s">
        <v>55</v>
      </c>
      <c r="C87" s="5" t="s">
        <v>41</v>
      </c>
      <c r="D87" s="6">
        <v>45354</v>
      </c>
      <c r="E87" s="5">
        <v>7.8</v>
      </c>
      <c r="F87" s="5">
        <v>5.8</v>
      </c>
      <c r="G87" s="5">
        <v>1.5</v>
      </c>
      <c r="H87" s="5" t="s">
        <v>48</v>
      </c>
      <c r="I87" s="5" t="s">
        <v>34</v>
      </c>
      <c r="J87" s="5" t="s">
        <v>40</v>
      </c>
      <c r="K87" s="5" t="s">
        <v>25</v>
      </c>
      <c r="L87" s="8">
        <v>74.36</v>
      </c>
      <c r="M87" s="5">
        <v>19.23</v>
      </c>
      <c r="N87" s="5">
        <v>2</v>
      </c>
    </row>
    <row r="88" spans="1:14" x14ac:dyDescent="0.3">
      <c r="A88" s="2" t="s">
        <v>62</v>
      </c>
      <c r="B88" s="2" t="s">
        <v>63</v>
      </c>
      <c r="C88" s="2" t="s">
        <v>36</v>
      </c>
      <c r="D88" s="3">
        <v>45376</v>
      </c>
      <c r="E88" s="2">
        <v>8.1</v>
      </c>
      <c r="F88" s="2">
        <v>5.4</v>
      </c>
      <c r="G88" s="2">
        <v>2.4</v>
      </c>
      <c r="H88" s="2" t="s">
        <v>37</v>
      </c>
      <c r="I88" s="2" t="s">
        <v>34</v>
      </c>
      <c r="J88" s="2" t="s">
        <v>19</v>
      </c>
      <c r="K88" s="2" t="s">
        <v>35</v>
      </c>
      <c r="L88" s="8">
        <v>66.67</v>
      </c>
      <c r="M88" s="2">
        <v>29.63</v>
      </c>
      <c r="N88" s="2">
        <v>2.7</v>
      </c>
    </row>
    <row r="89" spans="1:14" x14ac:dyDescent="0.3">
      <c r="A89" s="5" t="s">
        <v>30</v>
      </c>
      <c r="B89" s="5" t="s">
        <v>31</v>
      </c>
      <c r="C89" s="5" t="s">
        <v>16</v>
      </c>
      <c r="D89" s="6">
        <v>45429</v>
      </c>
      <c r="E89" s="5">
        <v>11.7</v>
      </c>
      <c r="F89" s="5">
        <v>9.5</v>
      </c>
      <c r="G89" s="5">
        <v>2</v>
      </c>
      <c r="H89" s="5" t="s">
        <v>42</v>
      </c>
      <c r="I89" s="5" t="s">
        <v>34</v>
      </c>
      <c r="J89" s="5" t="s">
        <v>51</v>
      </c>
      <c r="K89" s="5" t="s">
        <v>35</v>
      </c>
      <c r="L89" s="7">
        <v>81.2</v>
      </c>
      <c r="M89" s="5">
        <v>17.09</v>
      </c>
      <c r="N89" s="5">
        <v>2.2000000000000002</v>
      </c>
    </row>
    <row r="90" spans="1:14" x14ac:dyDescent="0.3">
      <c r="A90" s="2" t="s">
        <v>62</v>
      </c>
      <c r="B90" s="2" t="s">
        <v>63</v>
      </c>
      <c r="C90" s="2" t="s">
        <v>36</v>
      </c>
      <c r="D90" s="3">
        <v>45426</v>
      </c>
      <c r="E90" s="2">
        <v>9.6</v>
      </c>
      <c r="F90" s="2">
        <v>9.5</v>
      </c>
      <c r="G90" s="2">
        <v>0</v>
      </c>
      <c r="H90" s="2" t="s">
        <v>28</v>
      </c>
      <c r="I90" s="2" t="s">
        <v>28</v>
      </c>
      <c r="J90" s="2" t="s">
        <v>38</v>
      </c>
      <c r="K90" s="2" t="s">
        <v>35</v>
      </c>
      <c r="L90" s="7">
        <v>98.96</v>
      </c>
      <c r="M90" s="2">
        <v>0</v>
      </c>
      <c r="N90" s="2">
        <v>0.1</v>
      </c>
    </row>
    <row r="91" spans="1:14" x14ac:dyDescent="0.3">
      <c r="A91" s="5" t="s">
        <v>30</v>
      </c>
      <c r="B91" s="5" t="s">
        <v>31</v>
      </c>
      <c r="C91" s="5" t="s">
        <v>47</v>
      </c>
      <c r="D91" s="6">
        <v>45369</v>
      </c>
      <c r="E91" s="5">
        <v>6.1</v>
      </c>
      <c r="F91" s="5">
        <v>4.4000000000000004</v>
      </c>
      <c r="G91" s="5">
        <v>1.4</v>
      </c>
      <c r="H91" s="5" t="s">
        <v>17</v>
      </c>
      <c r="I91" s="5" t="s">
        <v>18</v>
      </c>
      <c r="J91" s="5" t="s">
        <v>38</v>
      </c>
      <c r="K91" s="5" t="s">
        <v>35</v>
      </c>
      <c r="L91" s="8">
        <v>72.13</v>
      </c>
      <c r="M91" s="5">
        <v>22.95</v>
      </c>
      <c r="N91" s="5">
        <v>1.7</v>
      </c>
    </row>
    <row r="92" spans="1:14" x14ac:dyDescent="0.3">
      <c r="A92" s="2" t="s">
        <v>14</v>
      </c>
      <c r="B92" s="2" t="s">
        <v>15</v>
      </c>
      <c r="C92" s="2" t="s">
        <v>39</v>
      </c>
      <c r="D92" s="3">
        <v>45417</v>
      </c>
      <c r="E92" s="2">
        <v>6.6</v>
      </c>
      <c r="F92" s="2">
        <v>2.7</v>
      </c>
      <c r="G92" s="2">
        <v>3.6</v>
      </c>
      <c r="H92" s="2" t="s">
        <v>33</v>
      </c>
      <c r="I92" s="2" t="s">
        <v>34</v>
      </c>
      <c r="J92" s="2" t="s">
        <v>51</v>
      </c>
      <c r="K92" s="2" t="s">
        <v>20</v>
      </c>
      <c r="L92" s="4">
        <v>40.909999999999997</v>
      </c>
      <c r="M92" s="2">
        <v>54.55</v>
      </c>
      <c r="N92" s="2">
        <v>3.9</v>
      </c>
    </row>
    <row r="93" spans="1:14" x14ac:dyDescent="0.3">
      <c r="A93" s="5" t="s">
        <v>30</v>
      </c>
      <c r="B93" s="5" t="s">
        <v>31</v>
      </c>
      <c r="C93" s="5" t="s">
        <v>47</v>
      </c>
      <c r="D93" s="6">
        <v>45305</v>
      </c>
      <c r="E93" s="5">
        <v>7.5</v>
      </c>
      <c r="F93" s="5">
        <v>6.9</v>
      </c>
      <c r="G93" s="5">
        <v>0.5</v>
      </c>
      <c r="H93" s="5" t="s">
        <v>17</v>
      </c>
      <c r="I93" s="5" t="s">
        <v>18</v>
      </c>
      <c r="J93" s="5" t="s">
        <v>49</v>
      </c>
      <c r="K93" s="5" t="s">
        <v>25</v>
      </c>
      <c r="L93" s="7">
        <v>92</v>
      </c>
      <c r="M93" s="5">
        <v>6.67</v>
      </c>
      <c r="N93" s="5">
        <v>0.6</v>
      </c>
    </row>
    <row r="94" spans="1:14" x14ac:dyDescent="0.3">
      <c r="A94" s="2" t="s">
        <v>52</v>
      </c>
      <c r="B94" s="2" t="s">
        <v>53</v>
      </c>
      <c r="C94" s="2" t="s">
        <v>36</v>
      </c>
      <c r="D94" s="3">
        <v>45453</v>
      </c>
      <c r="E94" s="2">
        <v>10.1</v>
      </c>
      <c r="F94" s="2">
        <v>5</v>
      </c>
      <c r="G94" s="2">
        <v>4.3</v>
      </c>
      <c r="H94" s="2" t="s">
        <v>61</v>
      </c>
      <c r="I94" s="2" t="s">
        <v>34</v>
      </c>
      <c r="J94" s="2" t="s">
        <v>19</v>
      </c>
      <c r="K94" s="2" t="s">
        <v>20</v>
      </c>
      <c r="L94" s="4">
        <v>49.5</v>
      </c>
      <c r="M94" s="2">
        <v>42.57</v>
      </c>
      <c r="N94" s="2">
        <v>5.0999999999999996</v>
      </c>
    </row>
    <row r="95" spans="1:14" x14ac:dyDescent="0.3">
      <c r="A95" s="5" t="s">
        <v>26</v>
      </c>
      <c r="B95" s="5" t="s">
        <v>27</v>
      </c>
      <c r="C95" s="5" t="s">
        <v>16</v>
      </c>
      <c r="D95" s="6">
        <v>45434</v>
      </c>
      <c r="E95" s="5">
        <v>10.6</v>
      </c>
      <c r="F95" s="5">
        <v>8.1</v>
      </c>
      <c r="G95" s="5">
        <v>1.7</v>
      </c>
      <c r="H95" s="5" t="s">
        <v>37</v>
      </c>
      <c r="I95" s="5" t="s">
        <v>34</v>
      </c>
      <c r="J95" s="5" t="s">
        <v>49</v>
      </c>
      <c r="K95" s="5" t="s">
        <v>25</v>
      </c>
      <c r="L95" s="8">
        <v>76.42</v>
      </c>
      <c r="M95" s="5">
        <v>16.04</v>
      </c>
      <c r="N95" s="5">
        <v>2.5</v>
      </c>
    </row>
    <row r="96" spans="1:14" x14ac:dyDescent="0.3">
      <c r="A96" s="2" t="s">
        <v>64</v>
      </c>
      <c r="B96" s="2" t="s">
        <v>65</v>
      </c>
      <c r="C96" s="2" t="s">
        <v>32</v>
      </c>
      <c r="D96" s="3">
        <v>45442</v>
      </c>
      <c r="E96" s="2">
        <v>11.9</v>
      </c>
      <c r="F96" s="2">
        <v>6.9</v>
      </c>
      <c r="G96" s="2">
        <v>4.4000000000000004</v>
      </c>
      <c r="H96" s="2" t="s">
        <v>48</v>
      </c>
      <c r="I96" s="2" t="s">
        <v>34</v>
      </c>
      <c r="J96" s="2" t="s">
        <v>19</v>
      </c>
      <c r="K96" s="2" t="s">
        <v>20</v>
      </c>
      <c r="L96" s="4">
        <v>57.98</v>
      </c>
      <c r="M96" s="2">
        <v>36.97</v>
      </c>
      <c r="N96" s="2">
        <v>5</v>
      </c>
    </row>
    <row r="97" spans="1:14" x14ac:dyDescent="0.3">
      <c r="A97" s="5" t="s">
        <v>26</v>
      </c>
      <c r="B97" s="5" t="s">
        <v>27</v>
      </c>
      <c r="C97" s="5" t="s">
        <v>41</v>
      </c>
      <c r="D97" s="6">
        <v>45346</v>
      </c>
      <c r="E97" s="5">
        <v>7.6</v>
      </c>
      <c r="F97" s="5">
        <v>3.4</v>
      </c>
      <c r="G97" s="5">
        <v>4</v>
      </c>
      <c r="H97" s="5" t="s">
        <v>48</v>
      </c>
      <c r="I97" s="5" t="s">
        <v>34</v>
      </c>
      <c r="J97" s="5" t="s">
        <v>19</v>
      </c>
      <c r="K97" s="5" t="s">
        <v>20</v>
      </c>
      <c r="L97" s="4">
        <v>44.74</v>
      </c>
      <c r="M97" s="5">
        <v>52.63</v>
      </c>
      <c r="N97" s="5">
        <v>4.2</v>
      </c>
    </row>
    <row r="98" spans="1:14" x14ac:dyDescent="0.3">
      <c r="A98" s="2" t="s">
        <v>43</v>
      </c>
      <c r="B98" s="2" t="s">
        <v>44</v>
      </c>
      <c r="C98" s="2" t="s">
        <v>16</v>
      </c>
      <c r="D98" s="3">
        <v>45396</v>
      </c>
      <c r="E98" s="2">
        <v>8.6999999999999993</v>
      </c>
      <c r="F98" s="2">
        <v>6.6</v>
      </c>
      <c r="G98" s="2">
        <v>1.8</v>
      </c>
      <c r="H98" s="2" t="s">
        <v>37</v>
      </c>
      <c r="I98" s="2" t="s">
        <v>34</v>
      </c>
      <c r="J98" s="2" t="s">
        <v>38</v>
      </c>
      <c r="K98" s="2" t="s">
        <v>35</v>
      </c>
      <c r="L98" s="8">
        <v>75.86</v>
      </c>
      <c r="M98" s="2">
        <v>20.69</v>
      </c>
      <c r="N98" s="2">
        <v>2.1</v>
      </c>
    </row>
    <row r="99" spans="1:14" x14ac:dyDescent="0.3">
      <c r="A99" s="5" t="s">
        <v>62</v>
      </c>
      <c r="B99" s="5" t="s">
        <v>63</v>
      </c>
      <c r="C99" s="5" t="s">
        <v>39</v>
      </c>
      <c r="D99" s="6">
        <v>45408</v>
      </c>
      <c r="E99" s="5">
        <v>6.4</v>
      </c>
      <c r="F99" s="5">
        <v>3.5</v>
      </c>
      <c r="G99" s="5">
        <v>2.6</v>
      </c>
      <c r="H99" s="5" t="s">
        <v>56</v>
      </c>
      <c r="I99" s="5" t="s">
        <v>34</v>
      </c>
      <c r="J99" s="5" t="s">
        <v>24</v>
      </c>
      <c r="K99" s="5" t="s">
        <v>25</v>
      </c>
      <c r="L99" s="4">
        <v>54.69</v>
      </c>
      <c r="M99" s="5">
        <v>40.619999999999997</v>
      </c>
      <c r="N99" s="5">
        <v>2.9</v>
      </c>
    </row>
    <row r="100" spans="1:14" x14ac:dyDescent="0.3">
      <c r="A100" s="2" t="s">
        <v>52</v>
      </c>
      <c r="B100" s="2" t="s">
        <v>53</v>
      </c>
      <c r="C100" s="2" t="s">
        <v>36</v>
      </c>
      <c r="D100" s="3">
        <v>45349</v>
      </c>
      <c r="E100" s="2">
        <v>9.9</v>
      </c>
      <c r="F100" s="2">
        <v>9.4</v>
      </c>
      <c r="G100" s="2">
        <v>0</v>
      </c>
      <c r="H100" s="2" t="s">
        <v>28</v>
      </c>
      <c r="I100" s="2" t="s">
        <v>28</v>
      </c>
      <c r="J100" s="2" t="s">
        <v>19</v>
      </c>
      <c r="K100" s="2" t="s">
        <v>35</v>
      </c>
      <c r="L100" s="7">
        <v>94.95</v>
      </c>
      <c r="M100" s="2">
        <v>0</v>
      </c>
      <c r="N100" s="2">
        <v>0.5</v>
      </c>
    </row>
    <row r="101" spans="1:14" x14ac:dyDescent="0.3">
      <c r="A101" s="5" t="s">
        <v>43</v>
      </c>
      <c r="B101" s="5" t="s">
        <v>44</v>
      </c>
      <c r="C101" s="5" t="s">
        <v>39</v>
      </c>
      <c r="D101" s="6">
        <v>45370</v>
      </c>
      <c r="E101" s="5">
        <v>9.6</v>
      </c>
      <c r="F101" s="5">
        <v>8.6</v>
      </c>
      <c r="G101" s="5">
        <v>0.1</v>
      </c>
      <c r="H101" s="5" t="s">
        <v>33</v>
      </c>
      <c r="I101" s="5" t="s">
        <v>34</v>
      </c>
      <c r="J101" s="5" t="s">
        <v>19</v>
      </c>
      <c r="K101" s="5" t="s">
        <v>25</v>
      </c>
      <c r="L101" s="7">
        <v>89.58</v>
      </c>
      <c r="M101" s="5">
        <v>1.04</v>
      </c>
      <c r="N101" s="5">
        <v>1</v>
      </c>
    </row>
    <row r="102" spans="1:14" x14ac:dyDescent="0.3">
      <c r="A102" s="2" t="s">
        <v>62</v>
      </c>
      <c r="B102" s="2" t="s">
        <v>63</v>
      </c>
      <c r="C102" s="2" t="s">
        <v>32</v>
      </c>
      <c r="D102" s="3">
        <v>45471</v>
      </c>
      <c r="E102" s="2">
        <v>8.4</v>
      </c>
      <c r="F102" s="2">
        <v>4.7</v>
      </c>
      <c r="G102" s="2">
        <v>3.2</v>
      </c>
      <c r="H102" s="2" t="s">
        <v>33</v>
      </c>
      <c r="I102" s="2" t="s">
        <v>34</v>
      </c>
      <c r="J102" s="2" t="s">
        <v>19</v>
      </c>
      <c r="K102" s="2" t="s">
        <v>20</v>
      </c>
      <c r="L102" s="4">
        <v>55.95</v>
      </c>
      <c r="M102" s="2">
        <v>38.1</v>
      </c>
      <c r="N102" s="2">
        <v>3.7</v>
      </c>
    </row>
    <row r="103" spans="1:14" x14ac:dyDescent="0.3">
      <c r="A103" s="5" t="s">
        <v>21</v>
      </c>
      <c r="B103" s="5" t="s">
        <v>22</v>
      </c>
      <c r="C103" s="5" t="s">
        <v>16</v>
      </c>
      <c r="D103" s="6">
        <v>45402</v>
      </c>
      <c r="E103" s="5">
        <v>10.4</v>
      </c>
      <c r="F103" s="5">
        <v>7.9</v>
      </c>
      <c r="G103" s="5">
        <v>2.5</v>
      </c>
      <c r="H103" s="5" t="s">
        <v>37</v>
      </c>
      <c r="I103" s="5" t="s">
        <v>34</v>
      </c>
      <c r="J103" s="5" t="s">
        <v>50</v>
      </c>
      <c r="K103" s="5" t="s">
        <v>35</v>
      </c>
      <c r="L103" s="8">
        <v>75.959999999999994</v>
      </c>
      <c r="M103" s="5">
        <v>24.04</v>
      </c>
      <c r="N103" s="5">
        <v>2.5</v>
      </c>
    </row>
    <row r="104" spans="1:14" x14ac:dyDescent="0.3">
      <c r="A104" s="2" t="s">
        <v>21</v>
      </c>
      <c r="B104" s="2" t="s">
        <v>22</v>
      </c>
      <c r="C104" s="2" t="s">
        <v>16</v>
      </c>
      <c r="D104" s="3">
        <v>45336</v>
      </c>
      <c r="E104" s="2">
        <v>8.8000000000000007</v>
      </c>
      <c r="F104" s="2">
        <v>7</v>
      </c>
      <c r="G104" s="2">
        <v>0.9</v>
      </c>
      <c r="H104" s="2" t="s">
        <v>37</v>
      </c>
      <c r="I104" s="2" t="s">
        <v>34</v>
      </c>
      <c r="J104" s="2" t="s">
        <v>49</v>
      </c>
      <c r="K104" s="2" t="s">
        <v>25</v>
      </c>
      <c r="L104" s="8">
        <v>79.55</v>
      </c>
      <c r="M104" s="2">
        <v>10.23</v>
      </c>
      <c r="N104" s="2">
        <v>1.8</v>
      </c>
    </row>
    <row r="105" spans="1:14" x14ac:dyDescent="0.3">
      <c r="A105" s="5" t="s">
        <v>52</v>
      </c>
      <c r="B105" s="5" t="s">
        <v>53</v>
      </c>
      <c r="C105" s="5" t="s">
        <v>23</v>
      </c>
      <c r="D105" s="6">
        <v>45381</v>
      </c>
      <c r="E105" s="5">
        <v>8.5</v>
      </c>
      <c r="F105" s="5">
        <v>5</v>
      </c>
      <c r="G105" s="5">
        <v>3.4</v>
      </c>
      <c r="H105" s="5" t="s">
        <v>37</v>
      </c>
      <c r="I105" s="5" t="s">
        <v>34</v>
      </c>
      <c r="J105" s="5" t="s">
        <v>40</v>
      </c>
      <c r="K105" s="5" t="s">
        <v>20</v>
      </c>
      <c r="L105" s="4">
        <v>58.82</v>
      </c>
      <c r="M105" s="5">
        <v>40</v>
      </c>
      <c r="N105" s="5">
        <v>3.5</v>
      </c>
    </row>
    <row r="106" spans="1:14" x14ac:dyDescent="0.3">
      <c r="A106" s="2" t="s">
        <v>54</v>
      </c>
      <c r="B106" s="2" t="s">
        <v>55</v>
      </c>
      <c r="C106" s="2" t="s">
        <v>41</v>
      </c>
      <c r="D106" s="3">
        <v>45418</v>
      </c>
      <c r="E106" s="2">
        <v>7.7</v>
      </c>
      <c r="F106" s="2">
        <v>7.4</v>
      </c>
      <c r="G106" s="2">
        <v>0</v>
      </c>
      <c r="H106" s="2" t="s">
        <v>28</v>
      </c>
      <c r="I106" s="2" t="s">
        <v>28</v>
      </c>
      <c r="J106" s="2" t="s">
        <v>50</v>
      </c>
      <c r="K106" s="2" t="s">
        <v>25</v>
      </c>
      <c r="L106" s="7">
        <v>96.1</v>
      </c>
      <c r="M106" s="2">
        <v>0</v>
      </c>
      <c r="N106" s="2">
        <v>0.3</v>
      </c>
    </row>
    <row r="107" spans="1:14" x14ac:dyDescent="0.3">
      <c r="A107" s="5" t="s">
        <v>52</v>
      </c>
      <c r="B107" s="5" t="s">
        <v>53</v>
      </c>
      <c r="C107" s="5" t="s">
        <v>32</v>
      </c>
      <c r="D107" s="6">
        <v>45356</v>
      </c>
      <c r="E107" s="5">
        <v>7.9</v>
      </c>
      <c r="F107" s="5">
        <v>7.8</v>
      </c>
      <c r="G107" s="5">
        <v>0</v>
      </c>
      <c r="H107" s="5" t="s">
        <v>28</v>
      </c>
      <c r="I107" s="5" t="s">
        <v>28</v>
      </c>
      <c r="J107" s="5" t="s">
        <v>50</v>
      </c>
      <c r="K107" s="5" t="s">
        <v>25</v>
      </c>
      <c r="L107" s="7">
        <v>98.73</v>
      </c>
      <c r="M107" s="5">
        <v>0</v>
      </c>
      <c r="N107" s="5">
        <v>0.1</v>
      </c>
    </row>
    <row r="108" spans="1:14" x14ac:dyDescent="0.3">
      <c r="A108" s="2" t="s">
        <v>54</v>
      </c>
      <c r="B108" s="2" t="s">
        <v>55</v>
      </c>
      <c r="C108" s="2" t="s">
        <v>16</v>
      </c>
      <c r="D108" s="3">
        <v>45340</v>
      </c>
      <c r="E108" s="2">
        <v>9.1</v>
      </c>
      <c r="F108" s="2">
        <v>7</v>
      </c>
      <c r="G108" s="2">
        <v>1.6</v>
      </c>
      <c r="H108" s="2" t="s">
        <v>33</v>
      </c>
      <c r="I108" s="2" t="s">
        <v>34</v>
      </c>
      <c r="J108" s="2" t="s">
        <v>50</v>
      </c>
      <c r="K108" s="2" t="s">
        <v>35</v>
      </c>
      <c r="L108" s="8">
        <v>76.92</v>
      </c>
      <c r="M108" s="2">
        <v>17.579999999999998</v>
      </c>
      <c r="N108" s="2">
        <v>2.1</v>
      </c>
    </row>
    <row r="109" spans="1:14" x14ac:dyDescent="0.3">
      <c r="A109" s="5" t="s">
        <v>59</v>
      </c>
      <c r="B109" s="5" t="s">
        <v>60</v>
      </c>
      <c r="C109" s="5" t="s">
        <v>36</v>
      </c>
      <c r="D109" s="6">
        <v>45325</v>
      </c>
      <c r="E109" s="5">
        <v>11.6</v>
      </c>
      <c r="F109" s="5">
        <v>7.7</v>
      </c>
      <c r="G109" s="5">
        <v>3.2</v>
      </c>
      <c r="H109" s="5" t="s">
        <v>17</v>
      </c>
      <c r="I109" s="5" t="s">
        <v>18</v>
      </c>
      <c r="J109" s="5" t="s">
        <v>50</v>
      </c>
      <c r="K109" s="5" t="s">
        <v>20</v>
      </c>
      <c r="L109" s="8">
        <v>66.38</v>
      </c>
      <c r="M109" s="5">
        <v>27.59</v>
      </c>
      <c r="N109" s="5">
        <v>3.9</v>
      </c>
    </row>
    <row r="110" spans="1:14" x14ac:dyDescent="0.3">
      <c r="A110" s="2" t="s">
        <v>14</v>
      </c>
      <c r="B110" s="2" t="s">
        <v>15</v>
      </c>
      <c r="C110" s="2" t="s">
        <v>36</v>
      </c>
      <c r="D110" s="3">
        <v>45353</v>
      </c>
      <c r="E110" s="2">
        <v>10.3</v>
      </c>
      <c r="F110" s="2">
        <v>6</v>
      </c>
      <c r="G110" s="2">
        <v>4.3</v>
      </c>
      <c r="H110" s="2" t="s">
        <v>33</v>
      </c>
      <c r="I110" s="2" t="s">
        <v>34</v>
      </c>
      <c r="J110" s="2" t="s">
        <v>19</v>
      </c>
      <c r="K110" s="2" t="s">
        <v>20</v>
      </c>
      <c r="L110" s="4">
        <v>58.25</v>
      </c>
      <c r="M110" s="2">
        <v>41.75</v>
      </c>
      <c r="N110" s="2">
        <v>4.3</v>
      </c>
    </row>
    <row r="111" spans="1:14" x14ac:dyDescent="0.3">
      <c r="A111" s="5" t="s">
        <v>26</v>
      </c>
      <c r="B111" s="5" t="s">
        <v>27</v>
      </c>
      <c r="C111" s="5" t="s">
        <v>39</v>
      </c>
      <c r="D111" s="6">
        <v>45321</v>
      </c>
      <c r="E111" s="5">
        <v>8.8000000000000007</v>
      </c>
      <c r="F111" s="5">
        <v>4.0999999999999996</v>
      </c>
      <c r="G111" s="5">
        <v>3.9</v>
      </c>
      <c r="H111" s="5" t="s">
        <v>33</v>
      </c>
      <c r="I111" s="5" t="s">
        <v>34</v>
      </c>
      <c r="J111" s="5" t="s">
        <v>38</v>
      </c>
      <c r="K111" s="5" t="s">
        <v>20</v>
      </c>
      <c r="L111" s="4">
        <v>46.59</v>
      </c>
      <c r="M111" s="5">
        <v>44.32</v>
      </c>
      <c r="N111" s="5">
        <v>4.7</v>
      </c>
    </row>
    <row r="112" spans="1:14" x14ac:dyDescent="0.3">
      <c r="A112" s="2" t="s">
        <v>57</v>
      </c>
      <c r="B112" s="2" t="s">
        <v>58</v>
      </c>
      <c r="C112" s="2" t="s">
        <v>41</v>
      </c>
      <c r="D112" s="3">
        <v>45361</v>
      </c>
      <c r="E112" s="2">
        <v>8.5</v>
      </c>
      <c r="F112" s="2">
        <v>5.9</v>
      </c>
      <c r="G112" s="2">
        <v>2.1</v>
      </c>
      <c r="H112" s="2" t="s">
        <v>33</v>
      </c>
      <c r="I112" s="2" t="s">
        <v>34</v>
      </c>
      <c r="J112" s="2" t="s">
        <v>29</v>
      </c>
      <c r="K112" s="2" t="s">
        <v>25</v>
      </c>
      <c r="L112" s="8">
        <v>69.41</v>
      </c>
      <c r="M112" s="2">
        <v>24.71</v>
      </c>
      <c r="N112" s="2">
        <v>2.6</v>
      </c>
    </row>
    <row r="113" spans="1:14" x14ac:dyDescent="0.3">
      <c r="A113" s="5" t="s">
        <v>26</v>
      </c>
      <c r="B113" s="5" t="s">
        <v>27</v>
      </c>
      <c r="C113" s="5" t="s">
        <v>36</v>
      </c>
      <c r="D113" s="6">
        <v>45422</v>
      </c>
      <c r="E113" s="5">
        <v>10.5</v>
      </c>
      <c r="F113" s="5">
        <v>5.0999999999999996</v>
      </c>
      <c r="G113" s="5">
        <v>5.3</v>
      </c>
      <c r="H113" s="5" t="s">
        <v>56</v>
      </c>
      <c r="I113" s="5" t="s">
        <v>34</v>
      </c>
      <c r="J113" s="5" t="s">
        <v>49</v>
      </c>
      <c r="K113" s="5" t="s">
        <v>20</v>
      </c>
      <c r="L113" s="4">
        <v>48.57</v>
      </c>
      <c r="M113" s="5">
        <v>50.48</v>
      </c>
      <c r="N113" s="5">
        <v>5.4</v>
      </c>
    </row>
    <row r="114" spans="1:14" x14ac:dyDescent="0.3">
      <c r="A114" s="2" t="s">
        <v>30</v>
      </c>
      <c r="B114" s="2" t="s">
        <v>31</v>
      </c>
      <c r="C114" s="2" t="s">
        <v>39</v>
      </c>
      <c r="D114" s="3">
        <v>45421</v>
      </c>
      <c r="E114" s="2">
        <v>7.6</v>
      </c>
      <c r="F114" s="2">
        <v>3.1</v>
      </c>
      <c r="G114" s="2">
        <v>3.8</v>
      </c>
      <c r="H114" s="2" t="s">
        <v>56</v>
      </c>
      <c r="I114" s="2" t="s">
        <v>34</v>
      </c>
      <c r="J114" s="2" t="s">
        <v>51</v>
      </c>
      <c r="K114" s="2" t="s">
        <v>20</v>
      </c>
      <c r="L114" s="4">
        <v>40.79</v>
      </c>
      <c r="M114" s="2">
        <v>50</v>
      </c>
      <c r="N114" s="2">
        <v>4.5</v>
      </c>
    </row>
    <row r="115" spans="1:14" x14ac:dyDescent="0.3">
      <c r="A115" s="5" t="s">
        <v>43</v>
      </c>
      <c r="B115" s="5" t="s">
        <v>44</v>
      </c>
      <c r="C115" s="5" t="s">
        <v>23</v>
      </c>
      <c r="D115" s="6">
        <v>45429</v>
      </c>
      <c r="E115" s="5">
        <v>8.9</v>
      </c>
      <c r="F115" s="5">
        <v>5.3</v>
      </c>
      <c r="G115" s="5">
        <v>2.8</v>
      </c>
      <c r="H115" s="5" t="s">
        <v>33</v>
      </c>
      <c r="I115" s="5" t="s">
        <v>34</v>
      </c>
      <c r="J115" s="5" t="s">
        <v>51</v>
      </c>
      <c r="K115" s="5" t="s">
        <v>35</v>
      </c>
      <c r="L115" s="4">
        <v>59.55</v>
      </c>
      <c r="M115" s="5">
        <v>31.46</v>
      </c>
      <c r="N115" s="5">
        <v>3.6</v>
      </c>
    </row>
    <row r="116" spans="1:14" x14ac:dyDescent="0.3">
      <c r="A116" s="2" t="s">
        <v>26</v>
      </c>
      <c r="B116" s="2" t="s">
        <v>27</v>
      </c>
      <c r="C116" s="2" t="s">
        <v>41</v>
      </c>
      <c r="D116" s="3">
        <v>45353</v>
      </c>
      <c r="E116" s="2">
        <v>9.4</v>
      </c>
      <c r="F116" s="2">
        <v>5.0999999999999996</v>
      </c>
      <c r="G116" s="2">
        <v>3.5</v>
      </c>
      <c r="H116" s="2" t="s">
        <v>17</v>
      </c>
      <c r="I116" s="2" t="s">
        <v>18</v>
      </c>
      <c r="J116" s="2" t="s">
        <v>40</v>
      </c>
      <c r="K116" s="2" t="s">
        <v>20</v>
      </c>
      <c r="L116" s="4">
        <v>54.26</v>
      </c>
      <c r="M116" s="2">
        <v>37.229999999999997</v>
      </c>
      <c r="N116" s="2">
        <v>4.3</v>
      </c>
    </row>
    <row r="117" spans="1:14" x14ac:dyDescent="0.3">
      <c r="A117" s="5" t="s">
        <v>62</v>
      </c>
      <c r="B117" s="5" t="s">
        <v>63</v>
      </c>
      <c r="C117" s="5" t="s">
        <v>23</v>
      </c>
      <c r="D117" s="6">
        <v>45472</v>
      </c>
      <c r="E117" s="5">
        <v>11.5</v>
      </c>
      <c r="F117" s="5">
        <v>7.2</v>
      </c>
      <c r="G117" s="5">
        <v>3.3</v>
      </c>
      <c r="H117" s="5" t="s">
        <v>56</v>
      </c>
      <c r="I117" s="5" t="s">
        <v>34</v>
      </c>
      <c r="J117" s="5" t="s">
        <v>29</v>
      </c>
      <c r="K117" s="5" t="s">
        <v>20</v>
      </c>
      <c r="L117" s="8">
        <v>62.61</v>
      </c>
      <c r="M117" s="5">
        <v>28.7</v>
      </c>
      <c r="N117" s="5">
        <v>4.3</v>
      </c>
    </row>
    <row r="118" spans="1:14" x14ac:dyDescent="0.3">
      <c r="A118" s="2" t="s">
        <v>64</v>
      </c>
      <c r="B118" s="2" t="s">
        <v>65</v>
      </c>
      <c r="C118" s="2" t="s">
        <v>16</v>
      </c>
      <c r="D118" s="3">
        <v>45324</v>
      </c>
      <c r="E118" s="2">
        <v>9</v>
      </c>
      <c r="F118" s="2">
        <v>6.8</v>
      </c>
      <c r="G118" s="2">
        <v>1.3</v>
      </c>
      <c r="H118" s="2" t="s">
        <v>56</v>
      </c>
      <c r="I118" s="2" t="s">
        <v>34</v>
      </c>
      <c r="J118" s="2" t="s">
        <v>51</v>
      </c>
      <c r="K118" s="2" t="s">
        <v>35</v>
      </c>
      <c r="L118" s="8">
        <v>75.56</v>
      </c>
      <c r="M118" s="2">
        <v>14.44</v>
      </c>
      <c r="N118" s="2">
        <v>2.2000000000000002</v>
      </c>
    </row>
    <row r="119" spans="1:14" x14ac:dyDescent="0.3">
      <c r="A119" s="5" t="s">
        <v>57</v>
      </c>
      <c r="B119" s="5" t="s">
        <v>58</v>
      </c>
      <c r="C119" s="5" t="s">
        <v>23</v>
      </c>
      <c r="D119" s="6">
        <v>45295</v>
      </c>
      <c r="E119" s="5">
        <v>10.3</v>
      </c>
      <c r="F119" s="5">
        <v>6.7</v>
      </c>
      <c r="G119" s="5">
        <v>2.9</v>
      </c>
      <c r="H119" s="5" t="s">
        <v>37</v>
      </c>
      <c r="I119" s="5" t="s">
        <v>34</v>
      </c>
      <c r="J119" s="5" t="s">
        <v>19</v>
      </c>
      <c r="K119" s="5" t="s">
        <v>25</v>
      </c>
      <c r="L119" s="8">
        <v>65.05</v>
      </c>
      <c r="M119" s="5">
        <v>28.16</v>
      </c>
      <c r="N119" s="5">
        <v>3.6</v>
      </c>
    </row>
    <row r="120" spans="1:14" x14ac:dyDescent="0.3">
      <c r="A120" s="2" t="s">
        <v>59</v>
      </c>
      <c r="B120" s="2" t="s">
        <v>60</v>
      </c>
      <c r="C120" s="2" t="s">
        <v>32</v>
      </c>
      <c r="D120" s="3">
        <v>45451</v>
      </c>
      <c r="E120" s="2">
        <v>10.199999999999999</v>
      </c>
      <c r="F120" s="2">
        <v>8.1</v>
      </c>
      <c r="G120" s="2">
        <v>1.2</v>
      </c>
      <c r="H120" s="2" t="s">
        <v>56</v>
      </c>
      <c r="I120" s="2" t="s">
        <v>34</v>
      </c>
      <c r="J120" s="2" t="s">
        <v>49</v>
      </c>
      <c r="K120" s="2" t="s">
        <v>35</v>
      </c>
      <c r="L120" s="8">
        <v>79.41</v>
      </c>
      <c r="M120" s="2">
        <v>11.76</v>
      </c>
      <c r="N120" s="2">
        <v>2.1</v>
      </c>
    </row>
    <row r="121" spans="1:14" x14ac:dyDescent="0.3">
      <c r="A121" s="5" t="s">
        <v>14</v>
      </c>
      <c r="B121" s="5" t="s">
        <v>15</v>
      </c>
      <c r="C121" s="5" t="s">
        <v>41</v>
      </c>
      <c r="D121" s="6">
        <v>45416</v>
      </c>
      <c r="E121" s="5">
        <v>11.2</v>
      </c>
      <c r="F121" s="5">
        <v>4.7</v>
      </c>
      <c r="G121" s="5">
        <v>6.4</v>
      </c>
      <c r="H121" s="5" t="s">
        <v>42</v>
      </c>
      <c r="I121" s="5" t="s">
        <v>34</v>
      </c>
      <c r="J121" s="5" t="s">
        <v>38</v>
      </c>
      <c r="K121" s="5" t="s">
        <v>20</v>
      </c>
      <c r="L121" s="4">
        <v>41.96</v>
      </c>
      <c r="M121" s="5">
        <v>57.14</v>
      </c>
      <c r="N121" s="5">
        <v>6.5</v>
      </c>
    </row>
    <row r="122" spans="1:14" x14ac:dyDescent="0.3">
      <c r="A122" s="2" t="s">
        <v>26</v>
      </c>
      <c r="B122" s="2" t="s">
        <v>27</v>
      </c>
      <c r="C122" s="2" t="s">
        <v>41</v>
      </c>
      <c r="D122" s="3">
        <v>45315</v>
      </c>
      <c r="E122" s="2">
        <v>8.6</v>
      </c>
      <c r="F122" s="2">
        <v>3.9</v>
      </c>
      <c r="G122" s="2">
        <v>4.0999999999999996</v>
      </c>
      <c r="H122" s="2" t="s">
        <v>56</v>
      </c>
      <c r="I122" s="2" t="s">
        <v>34</v>
      </c>
      <c r="J122" s="2" t="s">
        <v>19</v>
      </c>
      <c r="K122" s="2" t="s">
        <v>20</v>
      </c>
      <c r="L122" s="4">
        <v>45.35</v>
      </c>
      <c r="M122" s="2">
        <v>47.67</v>
      </c>
      <c r="N122" s="2">
        <v>4.7</v>
      </c>
    </row>
    <row r="123" spans="1:14" x14ac:dyDescent="0.3">
      <c r="A123" s="5" t="s">
        <v>64</v>
      </c>
      <c r="B123" s="5" t="s">
        <v>65</v>
      </c>
      <c r="C123" s="5" t="s">
        <v>47</v>
      </c>
      <c r="D123" s="6">
        <v>45469</v>
      </c>
      <c r="E123" s="5">
        <v>7.8</v>
      </c>
      <c r="F123" s="5">
        <v>3.3</v>
      </c>
      <c r="G123" s="5">
        <v>4.2</v>
      </c>
      <c r="H123" s="5" t="s">
        <v>17</v>
      </c>
      <c r="I123" s="5" t="s">
        <v>18</v>
      </c>
      <c r="J123" s="5" t="s">
        <v>38</v>
      </c>
      <c r="K123" s="5" t="s">
        <v>20</v>
      </c>
      <c r="L123" s="4">
        <v>42.31</v>
      </c>
      <c r="M123" s="5">
        <v>53.85</v>
      </c>
      <c r="N123" s="5">
        <v>4.5</v>
      </c>
    </row>
    <row r="124" spans="1:14" x14ac:dyDescent="0.3">
      <c r="A124" s="2" t="s">
        <v>30</v>
      </c>
      <c r="B124" s="2" t="s">
        <v>31</v>
      </c>
      <c r="C124" s="2" t="s">
        <v>32</v>
      </c>
      <c r="D124" s="3">
        <v>45402</v>
      </c>
      <c r="E124" s="2">
        <v>6.9</v>
      </c>
      <c r="F124" s="2">
        <v>5</v>
      </c>
      <c r="G124" s="2">
        <v>1.3</v>
      </c>
      <c r="H124" s="2" t="s">
        <v>56</v>
      </c>
      <c r="I124" s="2" t="s">
        <v>34</v>
      </c>
      <c r="J124" s="2" t="s">
        <v>29</v>
      </c>
      <c r="K124" s="2" t="s">
        <v>35</v>
      </c>
      <c r="L124" s="8">
        <v>72.459999999999994</v>
      </c>
      <c r="M124" s="2">
        <v>18.84</v>
      </c>
      <c r="N124" s="2">
        <v>1.9</v>
      </c>
    </row>
    <row r="125" spans="1:14" x14ac:dyDescent="0.3">
      <c r="A125" s="5" t="s">
        <v>43</v>
      </c>
      <c r="B125" s="5" t="s">
        <v>44</v>
      </c>
      <c r="C125" s="5" t="s">
        <v>16</v>
      </c>
      <c r="D125" s="6">
        <v>45448</v>
      </c>
      <c r="E125" s="5">
        <v>11.2</v>
      </c>
      <c r="F125" s="5">
        <v>8.6</v>
      </c>
      <c r="G125" s="5">
        <v>2.4</v>
      </c>
      <c r="H125" s="5" t="s">
        <v>48</v>
      </c>
      <c r="I125" s="5" t="s">
        <v>34</v>
      </c>
      <c r="J125" s="5" t="s">
        <v>29</v>
      </c>
      <c r="K125" s="5" t="s">
        <v>35</v>
      </c>
      <c r="L125" s="8">
        <v>76.790000000000006</v>
      </c>
      <c r="M125" s="5">
        <v>21.43</v>
      </c>
      <c r="N125" s="5">
        <v>2.6</v>
      </c>
    </row>
    <row r="126" spans="1:14" x14ac:dyDescent="0.3">
      <c r="A126" s="2" t="s">
        <v>64</v>
      </c>
      <c r="B126" s="2" t="s">
        <v>65</v>
      </c>
      <c r="C126" s="2" t="s">
        <v>41</v>
      </c>
      <c r="D126" s="3">
        <v>45357</v>
      </c>
      <c r="E126" s="2">
        <v>8.8000000000000007</v>
      </c>
      <c r="F126" s="2">
        <v>7</v>
      </c>
      <c r="G126" s="2">
        <v>0.9</v>
      </c>
      <c r="H126" s="2" t="s">
        <v>33</v>
      </c>
      <c r="I126" s="2" t="s">
        <v>34</v>
      </c>
      <c r="J126" s="2" t="s">
        <v>38</v>
      </c>
      <c r="K126" s="2" t="s">
        <v>35</v>
      </c>
      <c r="L126" s="8">
        <v>79.55</v>
      </c>
      <c r="M126" s="2">
        <v>10.23</v>
      </c>
      <c r="N126" s="2">
        <v>1.8</v>
      </c>
    </row>
    <row r="127" spans="1:14" x14ac:dyDescent="0.3">
      <c r="A127" s="5" t="s">
        <v>52</v>
      </c>
      <c r="B127" s="5" t="s">
        <v>53</v>
      </c>
      <c r="C127" s="5" t="s">
        <v>23</v>
      </c>
      <c r="D127" s="6">
        <v>45380</v>
      </c>
      <c r="E127" s="5">
        <v>11.9</v>
      </c>
      <c r="F127" s="5">
        <v>6.9</v>
      </c>
      <c r="G127" s="5">
        <v>4</v>
      </c>
      <c r="H127" s="5" t="s">
        <v>42</v>
      </c>
      <c r="I127" s="5" t="s">
        <v>34</v>
      </c>
      <c r="J127" s="5" t="s">
        <v>38</v>
      </c>
      <c r="K127" s="5" t="s">
        <v>20</v>
      </c>
      <c r="L127" s="4">
        <v>57.98</v>
      </c>
      <c r="M127" s="5">
        <v>33.61</v>
      </c>
      <c r="N127" s="5">
        <v>5</v>
      </c>
    </row>
    <row r="128" spans="1:14" x14ac:dyDescent="0.3">
      <c r="A128" s="2" t="s">
        <v>64</v>
      </c>
      <c r="B128" s="2" t="s">
        <v>65</v>
      </c>
      <c r="C128" s="2" t="s">
        <v>39</v>
      </c>
      <c r="D128" s="3">
        <v>45369</v>
      </c>
      <c r="E128" s="2">
        <v>7.2</v>
      </c>
      <c r="F128" s="2">
        <v>4.5</v>
      </c>
      <c r="G128" s="2">
        <v>2.2000000000000002</v>
      </c>
      <c r="H128" s="2" t="s">
        <v>37</v>
      </c>
      <c r="I128" s="2" t="s">
        <v>34</v>
      </c>
      <c r="J128" s="2" t="s">
        <v>49</v>
      </c>
      <c r="K128" s="2" t="s">
        <v>35</v>
      </c>
      <c r="L128" s="8">
        <v>62.5</v>
      </c>
      <c r="M128" s="2">
        <v>30.56</v>
      </c>
      <c r="N128" s="2">
        <v>2.7</v>
      </c>
    </row>
    <row r="129" spans="1:14" x14ac:dyDescent="0.3">
      <c r="A129" s="5" t="s">
        <v>21</v>
      </c>
      <c r="B129" s="5" t="s">
        <v>22</v>
      </c>
      <c r="C129" s="5" t="s">
        <v>32</v>
      </c>
      <c r="D129" s="6">
        <v>45471</v>
      </c>
      <c r="E129" s="5">
        <v>7.8</v>
      </c>
      <c r="F129" s="5">
        <v>7.7</v>
      </c>
      <c r="G129" s="5">
        <v>0</v>
      </c>
      <c r="H129" s="5" t="s">
        <v>28</v>
      </c>
      <c r="I129" s="5" t="s">
        <v>28</v>
      </c>
      <c r="J129" s="5" t="s">
        <v>38</v>
      </c>
      <c r="K129" s="5" t="s">
        <v>35</v>
      </c>
      <c r="L129" s="7">
        <v>98.72</v>
      </c>
      <c r="M129" s="5">
        <v>0</v>
      </c>
      <c r="N129" s="5">
        <v>0.1</v>
      </c>
    </row>
    <row r="130" spans="1:14" x14ac:dyDescent="0.3">
      <c r="A130" s="2" t="s">
        <v>21</v>
      </c>
      <c r="B130" s="2" t="s">
        <v>22</v>
      </c>
      <c r="C130" s="2" t="s">
        <v>39</v>
      </c>
      <c r="D130" s="3">
        <v>45467</v>
      </c>
      <c r="E130" s="2">
        <v>10.7</v>
      </c>
      <c r="F130" s="2">
        <v>10.5</v>
      </c>
      <c r="G130" s="2">
        <v>0</v>
      </c>
      <c r="H130" s="2" t="s">
        <v>28</v>
      </c>
      <c r="I130" s="2" t="s">
        <v>28</v>
      </c>
      <c r="J130" s="2" t="s">
        <v>51</v>
      </c>
      <c r="K130" s="2" t="s">
        <v>35</v>
      </c>
      <c r="L130" s="7">
        <v>98.13</v>
      </c>
      <c r="M130" s="2">
        <v>0</v>
      </c>
      <c r="N130" s="2">
        <v>0.2</v>
      </c>
    </row>
    <row r="131" spans="1:14" x14ac:dyDescent="0.3">
      <c r="A131" s="5" t="s">
        <v>26</v>
      </c>
      <c r="B131" s="5" t="s">
        <v>27</v>
      </c>
      <c r="C131" s="5" t="s">
        <v>36</v>
      </c>
      <c r="D131" s="6">
        <v>45382</v>
      </c>
      <c r="E131" s="5">
        <v>7.3</v>
      </c>
      <c r="F131" s="5">
        <v>3.8</v>
      </c>
      <c r="G131" s="5">
        <v>3.2</v>
      </c>
      <c r="H131" s="5" t="s">
        <v>56</v>
      </c>
      <c r="I131" s="5" t="s">
        <v>34</v>
      </c>
      <c r="J131" s="5" t="s">
        <v>29</v>
      </c>
      <c r="K131" s="5" t="s">
        <v>20</v>
      </c>
      <c r="L131" s="4">
        <v>52.05</v>
      </c>
      <c r="M131" s="5">
        <v>43.84</v>
      </c>
      <c r="N131" s="5">
        <v>3.5</v>
      </c>
    </row>
    <row r="132" spans="1:14" x14ac:dyDescent="0.3">
      <c r="A132" s="2" t="s">
        <v>14</v>
      </c>
      <c r="B132" s="2" t="s">
        <v>15</v>
      </c>
      <c r="C132" s="2" t="s">
        <v>16</v>
      </c>
      <c r="D132" s="3">
        <v>45452</v>
      </c>
      <c r="E132" s="2">
        <v>9.9</v>
      </c>
      <c r="F132" s="2">
        <v>5.8</v>
      </c>
      <c r="G132" s="2">
        <v>3.7</v>
      </c>
      <c r="H132" s="2" t="s">
        <v>48</v>
      </c>
      <c r="I132" s="2" t="s">
        <v>34</v>
      </c>
      <c r="J132" s="2" t="s">
        <v>40</v>
      </c>
      <c r="K132" s="2" t="s">
        <v>20</v>
      </c>
      <c r="L132" s="4">
        <v>58.59</v>
      </c>
      <c r="M132" s="2">
        <v>37.369999999999997</v>
      </c>
      <c r="N132" s="2">
        <v>4.0999999999999996</v>
      </c>
    </row>
    <row r="133" spans="1:14" x14ac:dyDescent="0.3">
      <c r="A133" s="5" t="s">
        <v>62</v>
      </c>
      <c r="B133" s="5" t="s">
        <v>63</v>
      </c>
      <c r="C133" s="5" t="s">
        <v>47</v>
      </c>
      <c r="D133" s="6">
        <v>45315</v>
      </c>
      <c r="E133" s="5">
        <v>11.5</v>
      </c>
      <c r="F133" s="5">
        <v>6.9</v>
      </c>
      <c r="G133" s="5">
        <v>4.2</v>
      </c>
      <c r="H133" s="5" t="s">
        <v>37</v>
      </c>
      <c r="I133" s="5" t="s">
        <v>34</v>
      </c>
      <c r="J133" s="5" t="s">
        <v>29</v>
      </c>
      <c r="K133" s="5" t="s">
        <v>20</v>
      </c>
      <c r="L133" s="8">
        <v>60</v>
      </c>
      <c r="M133" s="5">
        <v>36.520000000000003</v>
      </c>
      <c r="N133" s="5">
        <v>4.5999999999999996</v>
      </c>
    </row>
    <row r="134" spans="1:14" x14ac:dyDescent="0.3">
      <c r="A134" s="2" t="s">
        <v>57</v>
      </c>
      <c r="B134" s="2" t="s">
        <v>58</v>
      </c>
      <c r="C134" s="2" t="s">
        <v>32</v>
      </c>
      <c r="D134" s="3">
        <v>45427</v>
      </c>
      <c r="E134" s="2">
        <v>9</v>
      </c>
      <c r="F134" s="2">
        <v>5.0999999999999996</v>
      </c>
      <c r="G134" s="2">
        <v>3.7</v>
      </c>
      <c r="H134" s="2" t="s">
        <v>56</v>
      </c>
      <c r="I134" s="2" t="s">
        <v>34</v>
      </c>
      <c r="J134" s="2" t="s">
        <v>51</v>
      </c>
      <c r="K134" s="2" t="s">
        <v>20</v>
      </c>
      <c r="L134" s="4">
        <v>56.67</v>
      </c>
      <c r="M134" s="2">
        <v>41.11</v>
      </c>
      <c r="N134" s="2">
        <v>3.9</v>
      </c>
    </row>
    <row r="135" spans="1:14" x14ac:dyDescent="0.3">
      <c r="A135" s="5" t="s">
        <v>59</v>
      </c>
      <c r="B135" s="5" t="s">
        <v>60</v>
      </c>
      <c r="C135" s="5" t="s">
        <v>41</v>
      </c>
      <c r="D135" s="6">
        <v>45378</v>
      </c>
      <c r="E135" s="5">
        <v>10.8</v>
      </c>
      <c r="F135" s="5">
        <v>7.4</v>
      </c>
      <c r="G135" s="5">
        <v>3.3</v>
      </c>
      <c r="H135" s="5" t="s">
        <v>56</v>
      </c>
      <c r="I135" s="5" t="s">
        <v>34</v>
      </c>
      <c r="J135" s="5" t="s">
        <v>24</v>
      </c>
      <c r="K135" s="5" t="s">
        <v>20</v>
      </c>
      <c r="L135" s="8">
        <v>68.52</v>
      </c>
      <c r="M135" s="5">
        <v>30.56</v>
      </c>
      <c r="N135" s="5">
        <v>3.4</v>
      </c>
    </row>
    <row r="136" spans="1:14" x14ac:dyDescent="0.3">
      <c r="A136" s="2" t="s">
        <v>14</v>
      </c>
      <c r="B136" s="2" t="s">
        <v>15</v>
      </c>
      <c r="C136" s="2" t="s">
        <v>41</v>
      </c>
      <c r="D136" s="3">
        <v>45464</v>
      </c>
      <c r="E136" s="2">
        <v>11.9</v>
      </c>
      <c r="F136" s="2">
        <v>11.7</v>
      </c>
      <c r="G136" s="2">
        <v>0</v>
      </c>
      <c r="H136" s="2" t="s">
        <v>28</v>
      </c>
      <c r="I136" s="2" t="s">
        <v>28</v>
      </c>
      <c r="J136" s="2" t="s">
        <v>40</v>
      </c>
      <c r="K136" s="2" t="s">
        <v>35</v>
      </c>
      <c r="L136" s="7">
        <v>98.32</v>
      </c>
      <c r="M136" s="2">
        <v>0</v>
      </c>
      <c r="N136" s="2">
        <v>0.2</v>
      </c>
    </row>
    <row r="137" spans="1:14" x14ac:dyDescent="0.3">
      <c r="A137" s="5" t="s">
        <v>54</v>
      </c>
      <c r="B137" s="5" t="s">
        <v>55</v>
      </c>
      <c r="C137" s="5" t="s">
        <v>16</v>
      </c>
      <c r="D137" s="6">
        <v>45359</v>
      </c>
      <c r="E137" s="5">
        <v>9.1999999999999993</v>
      </c>
      <c r="F137" s="5">
        <v>6.2</v>
      </c>
      <c r="G137" s="5">
        <v>2.2999999999999998</v>
      </c>
      <c r="H137" s="5" t="s">
        <v>42</v>
      </c>
      <c r="I137" s="5" t="s">
        <v>34</v>
      </c>
      <c r="J137" s="5" t="s">
        <v>38</v>
      </c>
      <c r="K137" s="5" t="s">
        <v>25</v>
      </c>
      <c r="L137" s="8">
        <v>67.39</v>
      </c>
      <c r="M137" s="5">
        <v>25</v>
      </c>
      <c r="N137" s="5">
        <v>3</v>
      </c>
    </row>
    <row r="138" spans="1:14" x14ac:dyDescent="0.3">
      <c r="A138" s="2" t="s">
        <v>14</v>
      </c>
      <c r="B138" s="2" t="s">
        <v>15</v>
      </c>
      <c r="C138" s="2" t="s">
        <v>32</v>
      </c>
      <c r="D138" s="3">
        <v>45319</v>
      </c>
      <c r="E138" s="2">
        <v>10</v>
      </c>
      <c r="F138" s="2">
        <v>6.8</v>
      </c>
      <c r="G138" s="2">
        <v>2.6</v>
      </c>
      <c r="H138" s="2" t="s">
        <v>48</v>
      </c>
      <c r="I138" s="2" t="s">
        <v>34</v>
      </c>
      <c r="J138" s="2" t="s">
        <v>40</v>
      </c>
      <c r="K138" s="2" t="s">
        <v>35</v>
      </c>
      <c r="L138" s="8">
        <v>68</v>
      </c>
      <c r="M138" s="2">
        <v>26</v>
      </c>
      <c r="N138" s="2">
        <v>3.2</v>
      </c>
    </row>
    <row r="139" spans="1:14" x14ac:dyDescent="0.3">
      <c r="A139" s="5" t="s">
        <v>14</v>
      </c>
      <c r="B139" s="5" t="s">
        <v>15</v>
      </c>
      <c r="C139" s="5" t="s">
        <v>16</v>
      </c>
      <c r="D139" s="6">
        <v>45454</v>
      </c>
      <c r="E139" s="5">
        <v>10.9</v>
      </c>
      <c r="F139" s="5">
        <v>10.3</v>
      </c>
      <c r="G139" s="5">
        <v>0.3</v>
      </c>
      <c r="H139" s="5" t="s">
        <v>33</v>
      </c>
      <c r="I139" s="5" t="s">
        <v>34</v>
      </c>
      <c r="J139" s="5" t="s">
        <v>19</v>
      </c>
      <c r="K139" s="5" t="s">
        <v>35</v>
      </c>
      <c r="L139" s="7">
        <v>94.5</v>
      </c>
      <c r="M139" s="5">
        <v>2.75</v>
      </c>
      <c r="N139" s="5">
        <v>0.6</v>
      </c>
    </row>
    <row r="140" spans="1:14" x14ac:dyDescent="0.3">
      <c r="A140" s="2" t="s">
        <v>45</v>
      </c>
      <c r="B140" s="2" t="s">
        <v>46</v>
      </c>
      <c r="C140" s="2" t="s">
        <v>16</v>
      </c>
      <c r="D140" s="3">
        <v>45369</v>
      </c>
      <c r="E140" s="2">
        <v>12</v>
      </c>
      <c r="F140" s="2">
        <v>5.6</v>
      </c>
      <c r="G140" s="2">
        <v>6.2</v>
      </c>
      <c r="H140" s="2" t="s">
        <v>48</v>
      </c>
      <c r="I140" s="2" t="s">
        <v>34</v>
      </c>
      <c r="J140" s="2" t="s">
        <v>29</v>
      </c>
      <c r="K140" s="2" t="s">
        <v>20</v>
      </c>
      <c r="L140" s="4">
        <v>46.67</v>
      </c>
      <c r="M140" s="2">
        <v>51.67</v>
      </c>
      <c r="N140" s="2">
        <v>6.4</v>
      </c>
    </row>
    <row r="141" spans="1:14" x14ac:dyDescent="0.3">
      <c r="A141" s="5" t="s">
        <v>54</v>
      </c>
      <c r="B141" s="5" t="s">
        <v>55</v>
      </c>
      <c r="C141" s="5" t="s">
        <v>23</v>
      </c>
      <c r="D141" s="6">
        <v>45386</v>
      </c>
      <c r="E141" s="5">
        <v>10</v>
      </c>
      <c r="F141" s="5">
        <v>8.5</v>
      </c>
      <c r="G141" s="5">
        <v>0.6</v>
      </c>
      <c r="H141" s="5" t="s">
        <v>33</v>
      </c>
      <c r="I141" s="5" t="s">
        <v>34</v>
      </c>
      <c r="J141" s="5" t="s">
        <v>29</v>
      </c>
      <c r="K141" s="5" t="s">
        <v>25</v>
      </c>
      <c r="L141" s="7">
        <v>85</v>
      </c>
      <c r="M141" s="5">
        <v>6</v>
      </c>
      <c r="N141" s="5">
        <v>1.5</v>
      </c>
    </row>
    <row r="142" spans="1:14" x14ac:dyDescent="0.3">
      <c r="A142" s="2" t="s">
        <v>14</v>
      </c>
      <c r="B142" s="2" t="s">
        <v>15</v>
      </c>
      <c r="C142" s="2" t="s">
        <v>16</v>
      </c>
      <c r="D142" s="3">
        <v>45417</v>
      </c>
      <c r="E142" s="2">
        <v>9.6999999999999993</v>
      </c>
      <c r="F142" s="2">
        <v>9.3000000000000007</v>
      </c>
      <c r="G142" s="2">
        <v>0.1</v>
      </c>
      <c r="H142" s="2" t="s">
        <v>42</v>
      </c>
      <c r="I142" s="2" t="s">
        <v>34</v>
      </c>
      <c r="J142" s="2" t="s">
        <v>40</v>
      </c>
      <c r="K142" s="2" t="s">
        <v>35</v>
      </c>
      <c r="L142" s="7">
        <v>95.88</v>
      </c>
      <c r="M142" s="2">
        <v>1.03</v>
      </c>
      <c r="N142" s="2">
        <v>0.4</v>
      </c>
    </row>
    <row r="143" spans="1:14" x14ac:dyDescent="0.3">
      <c r="A143" s="5" t="s">
        <v>64</v>
      </c>
      <c r="B143" s="5" t="s">
        <v>65</v>
      </c>
      <c r="C143" s="5" t="s">
        <v>23</v>
      </c>
      <c r="D143" s="6">
        <v>45352</v>
      </c>
      <c r="E143" s="5">
        <v>11.1</v>
      </c>
      <c r="F143" s="5">
        <v>5.0999999999999996</v>
      </c>
      <c r="G143" s="5">
        <v>5.3</v>
      </c>
      <c r="H143" s="5" t="s">
        <v>48</v>
      </c>
      <c r="I143" s="5" t="s">
        <v>34</v>
      </c>
      <c r="J143" s="5" t="s">
        <v>40</v>
      </c>
      <c r="K143" s="5" t="s">
        <v>20</v>
      </c>
      <c r="L143" s="4">
        <v>45.95</v>
      </c>
      <c r="M143" s="5">
        <v>47.75</v>
      </c>
      <c r="N143" s="5">
        <v>6</v>
      </c>
    </row>
    <row r="144" spans="1:14" x14ac:dyDescent="0.3">
      <c r="A144" s="2" t="s">
        <v>45</v>
      </c>
      <c r="B144" s="2" t="s">
        <v>46</v>
      </c>
      <c r="C144" s="2" t="s">
        <v>23</v>
      </c>
      <c r="D144" s="3">
        <v>45362</v>
      </c>
      <c r="E144" s="2">
        <v>7.1</v>
      </c>
      <c r="F144" s="2">
        <v>3.4</v>
      </c>
      <c r="G144" s="2">
        <v>2.9</v>
      </c>
      <c r="H144" s="2" t="s">
        <v>33</v>
      </c>
      <c r="I144" s="2" t="s">
        <v>34</v>
      </c>
      <c r="J144" s="2" t="s">
        <v>19</v>
      </c>
      <c r="K144" s="2" t="s">
        <v>35</v>
      </c>
      <c r="L144" s="4">
        <v>47.89</v>
      </c>
      <c r="M144" s="2">
        <v>40.85</v>
      </c>
      <c r="N144" s="2">
        <v>3.7</v>
      </c>
    </row>
    <row r="145" spans="1:14" x14ac:dyDescent="0.3">
      <c r="A145" s="5" t="s">
        <v>14</v>
      </c>
      <c r="B145" s="5" t="s">
        <v>15</v>
      </c>
      <c r="C145" s="5" t="s">
        <v>41</v>
      </c>
      <c r="D145" s="6">
        <v>45444</v>
      </c>
      <c r="E145" s="5">
        <v>11.8</v>
      </c>
      <c r="F145" s="5">
        <v>5.0999999999999996</v>
      </c>
      <c r="G145" s="5">
        <v>6.4</v>
      </c>
      <c r="H145" s="5" t="s">
        <v>37</v>
      </c>
      <c r="I145" s="5" t="s">
        <v>34</v>
      </c>
      <c r="J145" s="5" t="s">
        <v>24</v>
      </c>
      <c r="K145" s="5" t="s">
        <v>20</v>
      </c>
      <c r="L145" s="4">
        <v>43.22</v>
      </c>
      <c r="M145" s="5">
        <v>54.24</v>
      </c>
      <c r="N145" s="5">
        <v>6.7</v>
      </c>
    </row>
    <row r="146" spans="1:14" x14ac:dyDescent="0.3">
      <c r="A146" s="2" t="s">
        <v>52</v>
      </c>
      <c r="B146" s="2" t="s">
        <v>53</v>
      </c>
      <c r="C146" s="2" t="s">
        <v>39</v>
      </c>
      <c r="D146" s="3">
        <v>45433</v>
      </c>
      <c r="E146" s="2">
        <v>7.2</v>
      </c>
      <c r="F146" s="2">
        <v>3.8</v>
      </c>
      <c r="G146" s="2">
        <v>2.5</v>
      </c>
      <c r="H146" s="2" t="s">
        <v>61</v>
      </c>
      <c r="I146" s="2" t="s">
        <v>34</v>
      </c>
      <c r="J146" s="2" t="s">
        <v>29</v>
      </c>
      <c r="K146" s="2" t="s">
        <v>35</v>
      </c>
      <c r="L146" s="4">
        <v>52.78</v>
      </c>
      <c r="M146" s="2">
        <v>34.72</v>
      </c>
      <c r="N146" s="2">
        <v>3.4</v>
      </c>
    </row>
    <row r="147" spans="1:14" x14ac:dyDescent="0.3">
      <c r="A147" s="5" t="s">
        <v>59</v>
      </c>
      <c r="B147" s="5" t="s">
        <v>60</v>
      </c>
      <c r="C147" s="5" t="s">
        <v>39</v>
      </c>
      <c r="D147" s="6">
        <v>45329</v>
      </c>
      <c r="E147" s="5">
        <v>11.9</v>
      </c>
      <c r="F147" s="5">
        <v>8.6</v>
      </c>
      <c r="G147" s="5">
        <v>2.5</v>
      </c>
      <c r="H147" s="5" t="s">
        <v>17</v>
      </c>
      <c r="I147" s="5" t="s">
        <v>18</v>
      </c>
      <c r="J147" s="5" t="s">
        <v>50</v>
      </c>
      <c r="K147" s="5" t="s">
        <v>35</v>
      </c>
      <c r="L147" s="8">
        <v>72.27</v>
      </c>
      <c r="M147" s="5">
        <v>21.01</v>
      </c>
      <c r="N147" s="5">
        <v>3.3</v>
      </c>
    </row>
    <row r="148" spans="1:14" x14ac:dyDescent="0.3">
      <c r="A148" s="2" t="s">
        <v>45</v>
      </c>
      <c r="B148" s="2" t="s">
        <v>46</v>
      </c>
      <c r="C148" s="2" t="s">
        <v>32</v>
      </c>
      <c r="D148" s="3">
        <v>45352</v>
      </c>
      <c r="E148" s="2">
        <v>9.5</v>
      </c>
      <c r="F148" s="2">
        <v>3.9</v>
      </c>
      <c r="G148" s="2">
        <v>5.3</v>
      </c>
      <c r="H148" s="2" t="s">
        <v>37</v>
      </c>
      <c r="I148" s="2" t="s">
        <v>34</v>
      </c>
      <c r="J148" s="2" t="s">
        <v>49</v>
      </c>
      <c r="K148" s="2" t="s">
        <v>20</v>
      </c>
      <c r="L148" s="4">
        <v>41.05</v>
      </c>
      <c r="M148" s="2">
        <v>55.79</v>
      </c>
      <c r="N148" s="2">
        <v>5.6</v>
      </c>
    </row>
    <row r="149" spans="1:14" x14ac:dyDescent="0.3">
      <c r="A149" s="5" t="s">
        <v>57</v>
      </c>
      <c r="B149" s="5" t="s">
        <v>58</v>
      </c>
      <c r="C149" s="5" t="s">
        <v>16</v>
      </c>
      <c r="D149" s="6">
        <v>45308</v>
      </c>
      <c r="E149" s="5">
        <v>8.9</v>
      </c>
      <c r="F149" s="5">
        <v>7.7</v>
      </c>
      <c r="G149" s="5">
        <v>0.7</v>
      </c>
      <c r="H149" s="5" t="s">
        <v>17</v>
      </c>
      <c r="I149" s="5" t="s">
        <v>18</v>
      </c>
      <c r="J149" s="5" t="s">
        <v>51</v>
      </c>
      <c r="K149" s="5" t="s">
        <v>35</v>
      </c>
      <c r="L149" s="7">
        <v>86.52</v>
      </c>
      <c r="M149" s="5">
        <v>7.87</v>
      </c>
      <c r="N149" s="5">
        <v>1.2</v>
      </c>
    </row>
    <row r="150" spans="1:14" x14ac:dyDescent="0.3">
      <c r="A150" s="2" t="s">
        <v>21</v>
      </c>
      <c r="B150" s="2" t="s">
        <v>22</v>
      </c>
      <c r="C150" s="2" t="s">
        <v>16</v>
      </c>
      <c r="D150" s="3">
        <v>45460</v>
      </c>
      <c r="E150" s="2">
        <v>9.1</v>
      </c>
      <c r="F150" s="2">
        <v>6.1</v>
      </c>
      <c r="G150" s="2">
        <v>2</v>
      </c>
      <c r="H150" s="2" t="s">
        <v>17</v>
      </c>
      <c r="I150" s="2" t="s">
        <v>18</v>
      </c>
      <c r="J150" s="2" t="s">
        <v>51</v>
      </c>
      <c r="K150" s="2" t="s">
        <v>25</v>
      </c>
      <c r="L150" s="8">
        <v>67.03</v>
      </c>
      <c r="M150" s="2">
        <v>21.98</v>
      </c>
      <c r="N150" s="2">
        <v>3</v>
      </c>
    </row>
    <row r="151" spans="1:14" x14ac:dyDescent="0.3">
      <c r="A151" s="5" t="s">
        <v>54</v>
      </c>
      <c r="B151" s="5" t="s">
        <v>55</v>
      </c>
      <c r="C151" s="5" t="s">
        <v>41</v>
      </c>
      <c r="D151" s="6">
        <v>45319</v>
      </c>
      <c r="E151" s="5">
        <v>8.9</v>
      </c>
      <c r="F151" s="5">
        <v>8.4</v>
      </c>
      <c r="G151" s="5">
        <v>0.4</v>
      </c>
      <c r="H151" s="5" t="s">
        <v>17</v>
      </c>
      <c r="I151" s="5" t="s">
        <v>18</v>
      </c>
      <c r="J151" s="5" t="s">
        <v>40</v>
      </c>
      <c r="K151" s="5" t="s">
        <v>35</v>
      </c>
      <c r="L151" s="7">
        <v>94.38</v>
      </c>
      <c r="M151" s="5">
        <v>4.49</v>
      </c>
      <c r="N151" s="5">
        <v>0.5</v>
      </c>
    </row>
    <row r="152" spans="1:14" x14ac:dyDescent="0.3">
      <c r="A152" s="2" t="s">
        <v>52</v>
      </c>
      <c r="B152" s="2" t="s">
        <v>53</v>
      </c>
      <c r="C152" s="2" t="s">
        <v>47</v>
      </c>
      <c r="D152" s="3">
        <v>45362</v>
      </c>
      <c r="E152" s="2">
        <v>9.6999999999999993</v>
      </c>
      <c r="F152" s="2">
        <v>7.3</v>
      </c>
      <c r="G152" s="2">
        <v>1.7</v>
      </c>
      <c r="H152" s="2" t="s">
        <v>33</v>
      </c>
      <c r="I152" s="2" t="s">
        <v>34</v>
      </c>
      <c r="J152" s="2" t="s">
        <v>38</v>
      </c>
      <c r="K152" s="2" t="s">
        <v>25</v>
      </c>
      <c r="L152" s="8">
        <v>75.260000000000005</v>
      </c>
      <c r="M152" s="2">
        <v>17.53</v>
      </c>
      <c r="N152" s="2">
        <v>2.4</v>
      </c>
    </row>
    <row r="153" spans="1:14" x14ac:dyDescent="0.3">
      <c r="A153" s="5" t="s">
        <v>57</v>
      </c>
      <c r="B153" s="5" t="s">
        <v>58</v>
      </c>
      <c r="C153" s="5" t="s">
        <v>36</v>
      </c>
      <c r="D153" s="6">
        <v>45402</v>
      </c>
      <c r="E153" s="5">
        <v>6.6</v>
      </c>
      <c r="F153" s="5">
        <v>5.4</v>
      </c>
      <c r="G153" s="5">
        <v>0.3</v>
      </c>
      <c r="H153" s="5" t="s">
        <v>42</v>
      </c>
      <c r="I153" s="5" t="s">
        <v>34</v>
      </c>
      <c r="J153" s="5" t="s">
        <v>24</v>
      </c>
      <c r="K153" s="5" t="s">
        <v>25</v>
      </c>
      <c r="L153" s="7">
        <v>81.819999999999993</v>
      </c>
      <c r="M153" s="5">
        <v>4.55</v>
      </c>
      <c r="N153" s="5">
        <v>1.2</v>
      </c>
    </row>
    <row r="154" spans="1:14" x14ac:dyDescent="0.3">
      <c r="A154" s="2" t="s">
        <v>64</v>
      </c>
      <c r="B154" s="2" t="s">
        <v>65</v>
      </c>
      <c r="C154" s="2" t="s">
        <v>47</v>
      </c>
      <c r="D154" s="3">
        <v>45397</v>
      </c>
      <c r="E154" s="2">
        <v>8</v>
      </c>
      <c r="F154" s="2">
        <v>5.4</v>
      </c>
      <c r="G154" s="2">
        <v>2.2000000000000002</v>
      </c>
      <c r="H154" s="2" t="s">
        <v>17</v>
      </c>
      <c r="I154" s="2" t="s">
        <v>18</v>
      </c>
      <c r="J154" s="2" t="s">
        <v>40</v>
      </c>
      <c r="K154" s="2" t="s">
        <v>25</v>
      </c>
      <c r="L154" s="8">
        <v>67.5</v>
      </c>
      <c r="M154" s="2">
        <v>27.5</v>
      </c>
      <c r="N154" s="2">
        <v>2.6</v>
      </c>
    </row>
    <row r="155" spans="1:14" x14ac:dyDescent="0.3">
      <c r="A155" s="5" t="s">
        <v>30</v>
      </c>
      <c r="B155" s="5" t="s">
        <v>31</v>
      </c>
      <c r="C155" s="5" t="s">
        <v>41</v>
      </c>
      <c r="D155" s="6">
        <v>45357</v>
      </c>
      <c r="E155" s="5">
        <v>8.1999999999999993</v>
      </c>
      <c r="F155" s="5">
        <v>4</v>
      </c>
      <c r="G155" s="5">
        <v>3.3</v>
      </c>
      <c r="H155" s="5" t="s">
        <v>17</v>
      </c>
      <c r="I155" s="5" t="s">
        <v>18</v>
      </c>
      <c r="J155" s="5" t="s">
        <v>19</v>
      </c>
      <c r="K155" s="5" t="s">
        <v>20</v>
      </c>
      <c r="L155" s="4">
        <v>48.78</v>
      </c>
      <c r="M155" s="5">
        <v>40.24</v>
      </c>
      <c r="N155" s="5">
        <v>4.2</v>
      </c>
    </row>
    <row r="156" spans="1:14" x14ac:dyDescent="0.3">
      <c r="A156" s="2" t="s">
        <v>52</v>
      </c>
      <c r="B156" s="2" t="s">
        <v>53</v>
      </c>
      <c r="C156" s="2" t="s">
        <v>16</v>
      </c>
      <c r="D156" s="3">
        <v>45402</v>
      </c>
      <c r="E156" s="2">
        <v>6.6</v>
      </c>
      <c r="F156" s="2">
        <v>5.6</v>
      </c>
      <c r="G156" s="2">
        <v>0.2</v>
      </c>
      <c r="H156" s="2" t="s">
        <v>48</v>
      </c>
      <c r="I156" s="2" t="s">
        <v>34</v>
      </c>
      <c r="J156" s="2" t="s">
        <v>50</v>
      </c>
      <c r="K156" s="2" t="s">
        <v>35</v>
      </c>
      <c r="L156" s="7">
        <v>84.85</v>
      </c>
      <c r="M156" s="2">
        <v>3.03</v>
      </c>
      <c r="N156" s="2">
        <v>1</v>
      </c>
    </row>
    <row r="157" spans="1:14" x14ac:dyDescent="0.3">
      <c r="A157" s="5" t="s">
        <v>14</v>
      </c>
      <c r="B157" s="5" t="s">
        <v>15</v>
      </c>
      <c r="C157" s="5" t="s">
        <v>16</v>
      </c>
      <c r="D157" s="6">
        <v>45397</v>
      </c>
      <c r="E157" s="5">
        <v>8.1</v>
      </c>
      <c r="F157" s="5">
        <v>6.5</v>
      </c>
      <c r="G157" s="5">
        <v>0.8</v>
      </c>
      <c r="H157" s="5" t="s">
        <v>56</v>
      </c>
      <c r="I157" s="5" t="s">
        <v>34</v>
      </c>
      <c r="J157" s="5" t="s">
        <v>50</v>
      </c>
      <c r="K157" s="5" t="s">
        <v>35</v>
      </c>
      <c r="L157" s="7">
        <v>80.25</v>
      </c>
      <c r="M157" s="5">
        <v>9.8800000000000008</v>
      </c>
      <c r="N157" s="5">
        <v>1.6</v>
      </c>
    </row>
    <row r="158" spans="1:14" x14ac:dyDescent="0.3">
      <c r="A158" s="2" t="s">
        <v>21</v>
      </c>
      <c r="B158" s="2" t="s">
        <v>22</v>
      </c>
      <c r="C158" s="2" t="s">
        <v>32</v>
      </c>
      <c r="D158" s="3">
        <v>45382</v>
      </c>
      <c r="E158" s="2">
        <v>6.6</v>
      </c>
      <c r="F158" s="2">
        <v>4.5999999999999996</v>
      </c>
      <c r="G158" s="2">
        <v>1.8</v>
      </c>
      <c r="H158" s="2" t="s">
        <v>33</v>
      </c>
      <c r="I158" s="2" t="s">
        <v>34</v>
      </c>
      <c r="J158" s="2" t="s">
        <v>24</v>
      </c>
      <c r="K158" s="2" t="s">
        <v>35</v>
      </c>
      <c r="L158" s="8">
        <v>69.7</v>
      </c>
      <c r="M158" s="2">
        <v>27.27</v>
      </c>
      <c r="N158" s="2">
        <v>2</v>
      </c>
    </row>
    <row r="159" spans="1:14" x14ac:dyDescent="0.3">
      <c r="A159" s="5" t="s">
        <v>30</v>
      </c>
      <c r="B159" s="5" t="s">
        <v>31</v>
      </c>
      <c r="C159" s="5" t="s">
        <v>39</v>
      </c>
      <c r="D159" s="6">
        <v>45434</v>
      </c>
      <c r="E159" s="5">
        <v>8.1999999999999993</v>
      </c>
      <c r="F159" s="5">
        <v>7</v>
      </c>
      <c r="G159" s="5">
        <v>0.6</v>
      </c>
      <c r="H159" s="5" t="s">
        <v>56</v>
      </c>
      <c r="I159" s="5" t="s">
        <v>34</v>
      </c>
      <c r="J159" s="5" t="s">
        <v>49</v>
      </c>
      <c r="K159" s="5" t="s">
        <v>35</v>
      </c>
      <c r="L159" s="7">
        <v>85.37</v>
      </c>
      <c r="M159" s="5">
        <v>7.32</v>
      </c>
      <c r="N159" s="5">
        <v>1.2</v>
      </c>
    </row>
    <row r="160" spans="1:14" x14ac:dyDescent="0.3">
      <c r="A160" s="2" t="s">
        <v>21</v>
      </c>
      <c r="B160" s="2" t="s">
        <v>22</v>
      </c>
      <c r="C160" s="2" t="s">
        <v>41</v>
      </c>
      <c r="D160" s="3">
        <v>45469</v>
      </c>
      <c r="E160" s="2">
        <v>7.6</v>
      </c>
      <c r="F160" s="2">
        <v>3.9</v>
      </c>
      <c r="G160" s="2">
        <v>3</v>
      </c>
      <c r="H160" s="2" t="s">
        <v>61</v>
      </c>
      <c r="I160" s="2" t="s">
        <v>34</v>
      </c>
      <c r="J160" s="2" t="s">
        <v>40</v>
      </c>
      <c r="K160" s="2" t="s">
        <v>35</v>
      </c>
      <c r="L160" s="4">
        <v>51.32</v>
      </c>
      <c r="M160" s="2">
        <v>39.47</v>
      </c>
      <c r="N160" s="2">
        <v>3.7</v>
      </c>
    </row>
    <row r="161" spans="1:14" x14ac:dyDescent="0.3">
      <c r="A161" s="5" t="s">
        <v>45</v>
      </c>
      <c r="B161" s="5" t="s">
        <v>46</v>
      </c>
      <c r="C161" s="5" t="s">
        <v>47</v>
      </c>
      <c r="D161" s="6">
        <v>45328</v>
      </c>
      <c r="E161" s="5">
        <v>9.4</v>
      </c>
      <c r="F161" s="5">
        <v>6</v>
      </c>
      <c r="G161" s="5">
        <v>3.3</v>
      </c>
      <c r="H161" s="5" t="s">
        <v>42</v>
      </c>
      <c r="I161" s="5" t="s">
        <v>34</v>
      </c>
      <c r="J161" s="5" t="s">
        <v>50</v>
      </c>
      <c r="K161" s="5" t="s">
        <v>20</v>
      </c>
      <c r="L161" s="8">
        <v>63.83</v>
      </c>
      <c r="M161" s="5">
        <v>35.11</v>
      </c>
      <c r="N161" s="5">
        <v>3.4</v>
      </c>
    </row>
    <row r="162" spans="1:14" x14ac:dyDescent="0.3">
      <c r="A162" s="2" t="s">
        <v>52</v>
      </c>
      <c r="B162" s="2" t="s">
        <v>53</v>
      </c>
      <c r="C162" s="2" t="s">
        <v>41</v>
      </c>
      <c r="D162" s="3">
        <v>45427</v>
      </c>
      <c r="E162" s="2">
        <v>7.3</v>
      </c>
      <c r="F162" s="2">
        <v>4.8</v>
      </c>
      <c r="G162" s="2">
        <v>2.2000000000000002</v>
      </c>
      <c r="H162" s="2" t="s">
        <v>61</v>
      </c>
      <c r="I162" s="2" t="s">
        <v>34</v>
      </c>
      <c r="J162" s="2" t="s">
        <v>38</v>
      </c>
      <c r="K162" s="2" t="s">
        <v>35</v>
      </c>
      <c r="L162" s="8">
        <v>65.75</v>
      </c>
      <c r="M162" s="2">
        <v>30.14</v>
      </c>
      <c r="N162" s="2">
        <v>2.5</v>
      </c>
    </row>
    <row r="163" spans="1:14" x14ac:dyDescent="0.3">
      <c r="A163" s="5" t="s">
        <v>21</v>
      </c>
      <c r="B163" s="5" t="s">
        <v>22</v>
      </c>
      <c r="C163" s="5" t="s">
        <v>36</v>
      </c>
      <c r="D163" s="6">
        <v>45313</v>
      </c>
      <c r="E163" s="5">
        <v>11.3</v>
      </c>
      <c r="F163" s="5">
        <v>5.6</v>
      </c>
      <c r="G163" s="5">
        <v>4.9000000000000004</v>
      </c>
      <c r="H163" s="5" t="s">
        <v>17</v>
      </c>
      <c r="I163" s="5" t="s">
        <v>18</v>
      </c>
      <c r="J163" s="5" t="s">
        <v>19</v>
      </c>
      <c r="K163" s="5" t="s">
        <v>20</v>
      </c>
      <c r="L163" s="4">
        <v>49.56</v>
      </c>
      <c r="M163" s="5">
        <v>43.36</v>
      </c>
      <c r="N163" s="5">
        <v>5.7</v>
      </c>
    </row>
    <row r="164" spans="1:14" x14ac:dyDescent="0.3">
      <c r="A164" s="2" t="s">
        <v>59</v>
      </c>
      <c r="B164" s="2" t="s">
        <v>60</v>
      </c>
      <c r="C164" s="2" t="s">
        <v>23</v>
      </c>
      <c r="D164" s="3">
        <v>45461</v>
      </c>
      <c r="E164" s="2">
        <v>8.5</v>
      </c>
      <c r="F164" s="2">
        <v>6.5</v>
      </c>
      <c r="G164" s="2">
        <v>1.6</v>
      </c>
      <c r="H164" s="2" t="s">
        <v>37</v>
      </c>
      <c r="I164" s="2" t="s">
        <v>34</v>
      </c>
      <c r="J164" s="2" t="s">
        <v>19</v>
      </c>
      <c r="K164" s="2" t="s">
        <v>35</v>
      </c>
      <c r="L164" s="8">
        <v>76.47</v>
      </c>
      <c r="M164" s="2">
        <v>18.82</v>
      </c>
      <c r="N164" s="2">
        <v>2</v>
      </c>
    </row>
    <row r="165" spans="1:14" x14ac:dyDescent="0.3">
      <c r="A165" s="5" t="s">
        <v>54</v>
      </c>
      <c r="B165" s="5" t="s">
        <v>55</v>
      </c>
      <c r="C165" s="5" t="s">
        <v>16</v>
      </c>
      <c r="D165" s="6">
        <v>45364</v>
      </c>
      <c r="E165" s="5">
        <v>10.1</v>
      </c>
      <c r="F165" s="5">
        <v>7.6</v>
      </c>
      <c r="G165" s="5">
        <v>2</v>
      </c>
      <c r="H165" s="5" t="s">
        <v>61</v>
      </c>
      <c r="I165" s="5" t="s">
        <v>34</v>
      </c>
      <c r="J165" s="5" t="s">
        <v>50</v>
      </c>
      <c r="K165" s="5" t="s">
        <v>35</v>
      </c>
      <c r="L165" s="8">
        <v>75.25</v>
      </c>
      <c r="M165" s="5">
        <v>19.8</v>
      </c>
      <c r="N165" s="5">
        <v>2.5</v>
      </c>
    </row>
    <row r="166" spans="1:14" x14ac:dyDescent="0.3">
      <c r="A166" s="2" t="s">
        <v>54</v>
      </c>
      <c r="B166" s="2" t="s">
        <v>55</v>
      </c>
      <c r="C166" s="2" t="s">
        <v>36</v>
      </c>
      <c r="D166" s="3">
        <v>45306</v>
      </c>
      <c r="E166" s="2">
        <v>6</v>
      </c>
      <c r="F166" s="2">
        <v>3.5</v>
      </c>
      <c r="G166" s="2">
        <v>2.2999999999999998</v>
      </c>
      <c r="H166" s="2" t="s">
        <v>37</v>
      </c>
      <c r="I166" s="2" t="s">
        <v>34</v>
      </c>
      <c r="J166" s="2" t="s">
        <v>38</v>
      </c>
      <c r="K166" s="2" t="s">
        <v>35</v>
      </c>
      <c r="L166" s="4">
        <v>58.33</v>
      </c>
      <c r="M166" s="2">
        <v>38.33</v>
      </c>
      <c r="N166" s="2">
        <v>2.5</v>
      </c>
    </row>
    <row r="167" spans="1:14" x14ac:dyDescent="0.3">
      <c r="A167" s="5" t="s">
        <v>30</v>
      </c>
      <c r="B167" s="5" t="s">
        <v>31</v>
      </c>
      <c r="C167" s="5" t="s">
        <v>16</v>
      </c>
      <c r="D167" s="6">
        <v>45293</v>
      </c>
      <c r="E167" s="5">
        <v>9</v>
      </c>
      <c r="F167" s="5">
        <v>5.9</v>
      </c>
      <c r="G167" s="5">
        <v>3</v>
      </c>
      <c r="H167" s="5" t="s">
        <v>48</v>
      </c>
      <c r="I167" s="5" t="s">
        <v>34</v>
      </c>
      <c r="J167" s="5" t="s">
        <v>24</v>
      </c>
      <c r="K167" s="5" t="s">
        <v>35</v>
      </c>
      <c r="L167" s="8">
        <v>65.56</v>
      </c>
      <c r="M167" s="5">
        <v>33.33</v>
      </c>
      <c r="N167" s="5">
        <v>3.1</v>
      </c>
    </row>
    <row r="168" spans="1:14" x14ac:dyDescent="0.3">
      <c r="A168" s="2" t="s">
        <v>52</v>
      </c>
      <c r="B168" s="2" t="s">
        <v>53</v>
      </c>
      <c r="C168" s="2" t="s">
        <v>23</v>
      </c>
      <c r="D168" s="3">
        <v>45302</v>
      </c>
      <c r="E168" s="2">
        <v>8.6</v>
      </c>
      <c r="F168" s="2">
        <v>5.8</v>
      </c>
      <c r="G168" s="2">
        <v>2.7</v>
      </c>
      <c r="H168" s="2" t="s">
        <v>61</v>
      </c>
      <c r="I168" s="2" t="s">
        <v>34</v>
      </c>
      <c r="J168" s="2" t="s">
        <v>49</v>
      </c>
      <c r="K168" s="2" t="s">
        <v>25</v>
      </c>
      <c r="L168" s="8">
        <v>67.44</v>
      </c>
      <c r="M168" s="2">
        <v>31.4</v>
      </c>
      <c r="N168" s="2">
        <v>2.8</v>
      </c>
    </row>
    <row r="169" spans="1:14" x14ac:dyDescent="0.3">
      <c r="A169" s="5" t="s">
        <v>62</v>
      </c>
      <c r="B169" s="5" t="s">
        <v>63</v>
      </c>
      <c r="C169" s="5" t="s">
        <v>41</v>
      </c>
      <c r="D169" s="6">
        <v>45398</v>
      </c>
      <c r="E169" s="5">
        <v>7.7</v>
      </c>
      <c r="F169" s="5">
        <v>5</v>
      </c>
      <c r="G169" s="5">
        <v>1.7</v>
      </c>
      <c r="H169" s="5" t="s">
        <v>37</v>
      </c>
      <c r="I169" s="5" t="s">
        <v>34</v>
      </c>
      <c r="J169" s="5" t="s">
        <v>51</v>
      </c>
      <c r="K169" s="5" t="s">
        <v>35</v>
      </c>
      <c r="L169" s="8">
        <v>64.94</v>
      </c>
      <c r="M169" s="5">
        <v>22.08</v>
      </c>
      <c r="N169" s="5">
        <v>2.7</v>
      </c>
    </row>
    <row r="170" spans="1:14" x14ac:dyDescent="0.3">
      <c r="A170" s="2" t="s">
        <v>52</v>
      </c>
      <c r="B170" s="2" t="s">
        <v>53</v>
      </c>
      <c r="C170" s="2" t="s">
        <v>23</v>
      </c>
      <c r="D170" s="3">
        <v>45319</v>
      </c>
      <c r="E170" s="2">
        <v>7.5</v>
      </c>
      <c r="F170" s="2">
        <v>5.6</v>
      </c>
      <c r="G170" s="2">
        <v>1.4</v>
      </c>
      <c r="H170" s="2" t="s">
        <v>33</v>
      </c>
      <c r="I170" s="2" t="s">
        <v>34</v>
      </c>
      <c r="J170" s="2" t="s">
        <v>38</v>
      </c>
      <c r="K170" s="2" t="s">
        <v>35</v>
      </c>
      <c r="L170" s="8">
        <v>74.67</v>
      </c>
      <c r="M170" s="2">
        <v>18.670000000000002</v>
      </c>
      <c r="N170" s="2">
        <v>1.9</v>
      </c>
    </row>
    <row r="171" spans="1:14" x14ac:dyDescent="0.3">
      <c r="A171" s="5" t="s">
        <v>26</v>
      </c>
      <c r="B171" s="5" t="s">
        <v>27</v>
      </c>
      <c r="C171" s="5" t="s">
        <v>32</v>
      </c>
      <c r="D171" s="6">
        <v>45335</v>
      </c>
      <c r="E171" s="5">
        <v>6.5</v>
      </c>
      <c r="F171" s="5">
        <v>5.0999999999999996</v>
      </c>
      <c r="G171" s="5">
        <v>0.9</v>
      </c>
      <c r="H171" s="5" t="s">
        <v>37</v>
      </c>
      <c r="I171" s="5" t="s">
        <v>34</v>
      </c>
      <c r="J171" s="5" t="s">
        <v>40</v>
      </c>
      <c r="K171" s="5" t="s">
        <v>35</v>
      </c>
      <c r="L171" s="8">
        <v>78.459999999999994</v>
      </c>
      <c r="M171" s="5">
        <v>13.85</v>
      </c>
      <c r="N171" s="5">
        <v>1.4</v>
      </c>
    </row>
    <row r="172" spans="1:14" x14ac:dyDescent="0.3">
      <c r="A172" s="2" t="s">
        <v>62</v>
      </c>
      <c r="B172" s="2" t="s">
        <v>63</v>
      </c>
      <c r="C172" s="2" t="s">
        <v>39</v>
      </c>
      <c r="D172" s="3">
        <v>45457</v>
      </c>
      <c r="E172" s="2">
        <v>10.9</v>
      </c>
      <c r="F172" s="2">
        <v>5.9</v>
      </c>
      <c r="G172" s="2">
        <v>4.9000000000000004</v>
      </c>
      <c r="H172" s="2" t="s">
        <v>37</v>
      </c>
      <c r="I172" s="2" t="s">
        <v>34</v>
      </c>
      <c r="J172" s="2" t="s">
        <v>29</v>
      </c>
      <c r="K172" s="2" t="s">
        <v>20</v>
      </c>
      <c r="L172" s="4">
        <v>54.13</v>
      </c>
      <c r="M172" s="2">
        <v>44.95</v>
      </c>
      <c r="N172" s="2">
        <v>5</v>
      </c>
    </row>
    <row r="173" spans="1:14" x14ac:dyDescent="0.3">
      <c r="A173" s="5" t="s">
        <v>21</v>
      </c>
      <c r="B173" s="5" t="s">
        <v>22</v>
      </c>
      <c r="C173" s="5" t="s">
        <v>47</v>
      </c>
      <c r="D173" s="6">
        <v>45459</v>
      </c>
      <c r="E173" s="5">
        <v>6.5</v>
      </c>
      <c r="F173" s="5">
        <v>6.3</v>
      </c>
      <c r="G173" s="5">
        <v>0</v>
      </c>
      <c r="H173" s="5" t="s">
        <v>28</v>
      </c>
      <c r="I173" s="5" t="s">
        <v>28</v>
      </c>
      <c r="J173" s="5" t="s">
        <v>51</v>
      </c>
      <c r="K173" s="5" t="s">
        <v>25</v>
      </c>
      <c r="L173" s="7">
        <v>96.92</v>
      </c>
      <c r="M173" s="5">
        <v>0</v>
      </c>
      <c r="N173" s="5">
        <v>0.2</v>
      </c>
    </row>
    <row r="174" spans="1:14" x14ac:dyDescent="0.3">
      <c r="A174" s="2" t="s">
        <v>14</v>
      </c>
      <c r="B174" s="2" t="s">
        <v>15</v>
      </c>
      <c r="C174" s="2" t="s">
        <v>36</v>
      </c>
      <c r="D174" s="3">
        <v>45456</v>
      </c>
      <c r="E174" s="2">
        <v>9.8000000000000007</v>
      </c>
      <c r="F174" s="2">
        <v>7.6</v>
      </c>
      <c r="G174" s="2">
        <v>1.3</v>
      </c>
      <c r="H174" s="2" t="s">
        <v>42</v>
      </c>
      <c r="I174" s="2" t="s">
        <v>34</v>
      </c>
      <c r="J174" s="2" t="s">
        <v>40</v>
      </c>
      <c r="K174" s="2" t="s">
        <v>35</v>
      </c>
      <c r="L174" s="8">
        <v>77.55</v>
      </c>
      <c r="M174" s="2">
        <v>13.27</v>
      </c>
      <c r="N174" s="2">
        <v>2.2000000000000002</v>
      </c>
    </row>
    <row r="175" spans="1:14" x14ac:dyDescent="0.3">
      <c r="A175" s="5" t="s">
        <v>64</v>
      </c>
      <c r="B175" s="5" t="s">
        <v>65</v>
      </c>
      <c r="C175" s="5" t="s">
        <v>16</v>
      </c>
      <c r="D175" s="6">
        <v>45412</v>
      </c>
      <c r="E175" s="5">
        <v>8.6999999999999993</v>
      </c>
      <c r="F175" s="5">
        <v>5.0999999999999996</v>
      </c>
      <c r="G175" s="5">
        <v>3.3</v>
      </c>
      <c r="H175" s="5" t="s">
        <v>17</v>
      </c>
      <c r="I175" s="5" t="s">
        <v>18</v>
      </c>
      <c r="J175" s="5" t="s">
        <v>40</v>
      </c>
      <c r="K175" s="5" t="s">
        <v>20</v>
      </c>
      <c r="L175" s="4">
        <v>58.62</v>
      </c>
      <c r="M175" s="5">
        <v>37.93</v>
      </c>
      <c r="N175" s="5">
        <v>3.6</v>
      </c>
    </row>
    <row r="176" spans="1:14" x14ac:dyDescent="0.3">
      <c r="A176" s="2" t="s">
        <v>57</v>
      </c>
      <c r="B176" s="2" t="s">
        <v>58</v>
      </c>
      <c r="C176" s="2" t="s">
        <v>16</v>
      </c>
      <c r="D176" s="3">
        <v>45371</v>
      </c>
      <c r="E176" s="2">
        <v>8.8000000000000007</v>
      </c>
      <c r="F176" s="2">
        <v>3.7</v>
      </c>
      <c r="G176" s="2">
        <v>4.7</v>
      </c>
      <c r="H176" s="2" t="s">
        <v>61</v>
      </c>
      <c r="I176" s="2" t="s">
        <v>34</v>
      </c>
      <c r="J176" s="2" t="s">
        <v>19</v>
      </c>
      <c r="K176" s="2" t="s">
        <v>20</v>
      </c>
      <c r="L176" s="4">
        <v>42.05</v>
      </c>
      <c r="M176" s="2">
        <v>53.41</v>
      </c>
      <c r="N176" s="2">
        <v>5.0999999999999996</v>
      </c>
    </row>
    <row r="177" spans="1:14" x14ac:dyDescent="0.3">
      <c r="A177" s="5" t="s">
        <v>14</v>
      </c>
      <c r="B177" s="5" t="s">
        <v>15</v>
      </c>
      <c r="C177" s="5" t="s">
        <v>39</v>
      </c>
      <c r="D177" s="6">
        <v>45315</v>
      </c>
      <c r="E177" s="5">
        <v>9.6999999999999993</v>
      </c>
      <c r="F177" s="5">
        <v>6.8</v>
      </c>
      <c r="G177" s="5">
        <v>2.4</v>
      </c>
      <c r="H177" s="5" t="s">
        <v>48</v>
      </c>
      <c r="I177" s="5" t="s">
        <v>34</v>
      </c>
      <c r="J177" s="5" t="s">
        <v>50</v>
      </c>
      <c r="K177" s="5" t="s">
        <v>25</v>
      </c>
      <c r="L177" s="8">
        <v>70.099999999999994</v>
      </c>
      <c r="M177" s="5">
        <v>24.74</v>
      </c>
      <c r="N177" s="5">
        <v>2.9</v>
      </c>
    </row>
    <row r="178" spans="1:14" x14ac:dyDescent="0.3">
      <c r="A178" s="2" t="s">
        <v>21</v>
      </c>
      <c r="B178" s="2" t="s">
        <v>22</v>
      </c>
      <c r="C178" s="2" t="s">
        <v>41</v>
      </c>
      <c r="D178" s="3">
        <v>45340</v>
      </c>
      <c r="E178" s="2">
        <v>7.9</v>
      </c>
      <c r="F178" s="2">
        <v>5.4</v>
      </c>
      <c r="G178" s="2">
        <v>2.2999999999999998</v>
      </c>
      <c r="H178" s="2" t="s">
        <v>17</v>
      </c>
      <c r="I178" s="2" t="s">
        <v>18</v>
      </c>
      <c r="J178" s="2" t="s">
        <v>51</v>
      </c>
      <c r="K178" s="2" t="s">
        <v>35</v>
      </c>
      <c r="L178" s="8">
        <v>68.349999999999994</v>
      </c>
      <c r="M178" s="2">
        <v>29.11</v>
      </c>
      <c r="N178" s="2">
        <v>2.5</v>
      </c>
    </row>
    <row r="179" spans="1:14" x14ac:dyDescent="0.3">
      <c r="A179" s="5" t="s">
        <v>30</v>
      </c>
      <c r="B179" s="5" t="s">
        <v>31</v>
      </c>
      <c r="C179" s="5" t="s">
        <v>41</v>
      </c>
      <c r="D179" s="6">
        <v>45313</v>
      </c>
      <c r="E179" s="5">
        <v>9</v>
      </c>
      <c r="F179" s="5">
        <v>4.5</v>
      </c>
      <c r="G179" s="5">
        <v>4.3</v>
      </c>
      <c r="H179" s="5" t="s">
        <v>33</v>
      </c>
      <c r="I179" s="5" t="s">
        <v>34</v>
      </c>
      <c r="J179" s="5" t="s">
        <v>51</v>
      </c>
      <c r="K179" s="5" t="s">
        <v>20</v>
      </c>
      <c r="L179" s="4">
        <v>50</v>
      </c>
      <c r="M179" s="5">
        <v>47.78</v>
      </c>
      <c r="N179" s="5">
        <v>4.5</v>
      </c>
    </row>
    <row r="180" spans="1:14" x14ac:dyDescent="0.3">
      <c r="A180" s="2" t="s">
        <v>57</v>
      </c>
      <c r="B180" s="2" t="s">
        <v>58</v>
      </c>
      <c r="C180" s="2" t="s">
        <v>36</v>
      </c>
      <c r="D180" s="3">
        <v>45448</v>
      </c>
      <c r="E180" s="2">
        <v>7</v>
      </c>
      <c r="F180" s="2">
        <v>4.4000000000000004</v>
      </c>
      <c r="G180" s="2">
        <v>2.2999999999999998</v>
      </c>
      <c r="H180" s="2" t="s">
        <v>33</v>
      </c>
      <c r="I180" s="2" t="s">
        <v>34</v>
      </c>
      <c r="J180" s="2" t="s">
        <v>40</v>
      </c>
      <c r="K180" s="2" t="s">
        <v>35</v>
      </c>
      <c r="L180" s="8">
        <v>62.86</v>
      </c>
      <c r="M180" s="2">
        <v>32.86</v>
      </c>
      <c r="N180" s="2">
        <v>2.6</v>
      </c>
    </row>
    <row r="181" spans="1:14" x14ac:dyDescent="0.3">
      <c r="A181" s="5" t="s">
        <v>14</v>
      </c>
      <c r="B181" s="5" t="s">
        <v>15</v>
      </c>
      <c r="C181" s="5" t="s">
        <v>41</v>
      </c>
      <c r="D181" s="6">
        <v>45377</v>
      </c>
      <c r="E181" s="5">
        <v>6.4</v>
      </c>
      <c r="F181" s="5">
        <v>2.9</v>
      </c>
      <c r="G181" s="5">
        <v>2.8</v>
      </c>
      <c r="H181" s="5" t="s">
        <v>61</v>
      </c>
      <c r="I181" s="5" t="s">
        <v>34</v>
      </c>
      <c r="J181" s="5" t="s">
        <v>38</v>
      </c>
      <c r="K181" s="5" t="s">
        <v>35</v>
      </c>
      <c r="L181" s="4">
        <v>45.31</v>
      </c>
      <c r="M181" s="5">
        <v>43.75</v>
      </c>
      <c r="N181" s="5">
        <v>3.5</v>
      </c>
    </row>
    <row r="182" spans="1:14" x14ac:dyDescent="0.3">
      <c r="A182" s="2" t="s">
        <v>30</v>
      </c>
      <c r="B182" s="2" t="s">
        <v>31</v>
      </c>
      <c r="C182" s="2" t="s">
        <v>16</v>
      </c>
      <c r="D182" s="3">
        <v>45441</v>
      </c>
      <c r="E182" s="2">
        <v>10</v>
      </c>
      <c r="F182" s="2">
        <v>9.5</v>
      </c>
      <c r="G182" s="2">
        <v>0.2</v>
      </c>
      <c r="H182" s="2" t="s">
        <v>42</v>
      </c>
      <c r="I182" s="2" t="s">
        <v>34</v>
      </c>
      <c r="J182" s="2" t="s">
        <v>49</v>
      </c>
      <c r="K182" s="2" t="s">
        <v>35</v>
      </c>
      <c r="L182" s="7">
        <v>95</v>
      </c>
      <c r="M182" s="2">
        <v>2</v>
      </c>
      <c r="N182" s="2">
        <v>0.5</v>
      </c>
    </row>
    <row r="183" spans="1:14" x14ac:dyDescent="0.3">
      <c r="A183" s="5" t="s">
        <v>21</v>
      </c>
      <c r="B183" s="5" t="s">
        <v>22</v>
      </c>
      <c r="C183" s="5" t="s">
        <v>41</v>
      </c>
      <c r="D183" s="6">
        <v>45313</v>
      </c>
      <c r="E183" s="5">
        <v>7.9</v>
      </c>
      <c r="F183" s="5">
        <v>4.9000000000000004</v>
      </c>
      <c r="G183" s="5">
        <v>2.2000000000000002</v>
      </c>
      <c r="H183" s="5" t="s">
        <v>56</v>
      </c>
      <c r="I183" s="5" t="s">
        <v>34</v>
      </c>
      <c r="J183" s="5" t="s">
        <v>29</v>
      </c>
      <c r="K183" s="5" t="s">
        <v>35</v>
      </c>
      <c r="L183" s="8">
        <v>62.03</v>
      </c>
      <c r="M183" s="5">
        <v>27.85</v>
      </c>
      <c r="N183" s="5">
        <v>3</v>
      </c>
    </row>
    <row r="184" spans="1:14" x14ac:dyDescent="0.3">
      <c r="A184" s="2" t="s">
        <v>14</v>
      </c>
      <c r="B184" s="2" t="s">
        <v>15</v>
      </c>
      <c r="C184" s="2" t="s">
        <v>41</v>
      </c>
      <c r="D184" s="3">
        <v>45400</v>
      </c>
      <c r="E184" s="2">
        <v>9.1</v>
      </c>
      <c r="F184" s="2">
        <v>3.7</v>
      </c>
      <c r="G184" s="2">
        <v>5.0999999999999996</v>
      </c>
      <c r="H184" s="2" t="s">
        <v>37</v>
      </c>
      <c r="I184" s="2" t="s">
        <v>34</v>
      </c>
      <c r="J184" s="2" t="s">
        <v>40</v>
      </c>
      <c r="K184" s="2" t="s">
        <v>20</v>
      </c>
      <c r="L184" s="4">
        <v>40.659999999999997</v>
      </c>
      <c r="M184" s="2">
        <v>56.04</v>
      </c>
      <c r="N184" s="2">
        <v>5.4</v>
      </c>
    </row>
    <row r="185" spans="1:14" x14ac:dyDescent="0.3">
      <c r="A185" s="5" t="s">
        <v>64</v>
      </c>
      <c r="B185" s="5" t="s">
        <v>65</v>
      </c>
      <c r="C185" s="5" t="s">
        <v>47</v>
      </c>
      <c r="D185" s="6">
        <v>45349</v>
      </c>
      <c r="E185" s="5">
        <v>12</v>
      </c>
      <c r="F185" s="5">
        <v>5.9</v>
      </c>
      <c r="G185" s="5">
        <v>5.8</v>
      </c>
      <c r="H185" s="5" t="s">
        <v>56</v>
      </c>
      <c r="I185" s="5" t="s">
        <v>34</v>
      </c>
      <c r="J185" s="5" t="s">
        <v>19</v>
      </c>
      <c r="K185" s="5" t="s">
        <v>20</v>
      </c>
      <c r="L185" s="4">
        <v>49.17</v>
      </c>
      <c r="M185" s="5">
        <v>48.33</v>
      </c>
      <c r="N185" s="5">
        <v>6.1</v>
      </c>
    </row>
    <row r="186" spans="1:14" x14ac:dyDescent="0.3">
      <c r="A186" s="2" t="s">
        <v>57</v>
      </c>
      <c r="B186" s="2" t="s">
        <v>58</v>
      </c>
      <c r="C186" s="2" t="s">
        <v>39</v>
      </c>
      <c r="D186" s="3">
        <v>45430</v>
      </c>
      <c r="E186" s="2">
        <v>11</v>
      </c>
      <c r="F186" s="2">
        <v>10.199999999999999</v>
      </c>
      <c r="G186" s="2">
        <v>0.8</v>
      </c>
      <c r="H186" s="2" t="s">
        <v>61</v>
      </c>
      <c r="I186" s="2" t="s">
        <v>34</v>
      </c>
      <c r="J186" s="2" t="s">
        <v>29</v>
      </c>
      <c r="K186" s="2" t="s">
        <v>25</v>
      </c>
      <c r="L186" s="7">
        <v>92.73</v>
      </c>
      <c r="M186" s="2">
        <v>7.27</v>
      </c>
      <c r="N186" s="2">
        <v>0.8</v>
      </c>
    </row>
    <row r="187" spans="1:14" x14ac:dyDescent="0.3">
      <c r="A187" s="5" t="s">
        <v>43</v>
      </c>
      <c r="B187" s="5" t="s">
        <v>44</v>
      </c>
      <c r="C187" s="5" t="s">
        <v>47</v>
      </c>
      <c r="D187" s="6">
        <v>45338</v>
      </c>
      <c r="E187" s="5">
        <v>11</v>
      </c>
      <c r="F187" s="5">
        <v>9.5</v>
      </c>
      <c r="G187" s="5">
        <v>0.7</v>
      </c>
      <c r="H187" s="5" t="s">
        <v>37</v>
      </c>
      <c r="I187" s="5" t="s">
        <v>34</v>
      </c>
      <c r="J187" s="5" t="s">
        <v>51</v>
      </c>
      <c r="K187" s="5" t="s">
        <v>35</v>
      </c>
      <c r="L187" s="7">
        <v>86.36</v>
      </c>
      <c r="M187" s="5">
        <v>6.36</v>
      </c>
      <c r="N187" s="5">
        <v>1.5</v>
      </c>
    </row>
    <row r="188" spans="1:14" x14ac:dyDescent="0.3">
      <c r="A188" s="2" t="s">
        <v>54</v>
      </c>
      <c r="B188" s="2" t="s">
        <v>55</v>
      </c>
      <c r="C188" s="2" t="s">
        <v>32</v>
      </c>
      <c r="D188" s="3">
        <v>45465</v>
      </c>
      <c r="E188" s="2">
        <v>10.3</v>
      </c>
      <c r="F188" s="2">
        <v>10.1</v>
      </c>
      <c r="G188" s="2">
        <v>0</v>
      </c>
      <c r="H188" s="2" t="s">
        <v>28</v>
      </c>
      <c r="I188" s="2" t="s">
        <v>28</v>
      </c>
      <c r="J188" s="2" t="s">
        <v>51</v>
      </c>
      <c r="K188" s="2" t="s">
        <v>35</v>
      </c>
      <c r="L188" s="7">
        <v>98.06</v>
      </c>
      <c r="M188" s="2">
        <v>0</v>
      </c>
      <c r="N188" s="2">
        <v>0.2</v>
      </c>
    </row>
    <row r="189" spans="1:14" x14ac:dyDescent="0.3">
      <c r="A189" s="5" t="s">
        <v>57</v>
      </c>
      <c r="B189" s="5" t="s">
        <v>58</v>
      </c>
      <c r="C189" s="5" t="s">
        <v>47</v>
      </c>
      <c r="D189" s="6">
        <v>45371</v>
      </c>
      <c r="E189" s="5">
        <v>11.8</v>
      </c>
      <c r="F189" s="5">
        <v>10.3</v>
      </c>
      <c r="G189" s="5">
        <v>0.6</v>
      </c>
      <c r="H189" s="5" t="s">
        <v>37</v>
      </c>
      <c r="I189" s="5" t="s">
        <v>34</v>
      </c>
      <c r="J189" s="5" t="s">
        <v>40</v>
      </c>
      <c r="K189" s="5" t="s">
        <v>25</v>
      </c>
      <c r="L189" s="7">
        <v>87.29</v>
      </c>
      <c r="M189" s="5">
        <v>5.08</v>
      </c>
      <c r="N189" s="5">
        <v>1.5</v>
      </c>
    </row>
    <row r="190" spans="1:14" x14ac:dyDescent="0.3">
      <c r="A190" s="2" t="s">
        <v>64</v>
      </c>
      <c r="B190" s="2" t="s">
        <v>65</v>
      </c>
      <c r="C190" s="2" t="s">
        <v>39</v>
      </c>
      <c r="D190" s="3">
        <v>45364</v>
      </c>
      <c r="E190" s="2">
        <v>10.7</v>
      </c>
      <c r="F190" s="2">
        <v>7.5</v>
      </c>
      <c r="G190" s="2">
        <v>2.8</v>
      </c>
      <c r="H190" s="2" t="s">
        <v>37</v>
      </c>
      <c r="I190" s="2" t="s">
        <v>34</v>
      </c>
      <c r="J190" s="2" t="s">
        <v>24</v>
      </c>
      <c r="K190" s="2" t="s">
        <v>35</v>
      </c>
      <c r="L190" s="8">
        <v>70.09</v>
      </c>
      <c r="M190" s="2">
        <v>26.17</v>
      </c>
      <c r="N190" s="2">
        <v>3.2</v>
      </c>
    </row>
    <row r="191" spans="1:14" x14ac:dyDescent="0.3">
      <c r="A191" s="5" t="s">
        <v>59</v>
      </c>
      <c r="B191" s="5" t="s">
        <v>60</v>
      </c>
      <c r="C191" s="5" t="s">
        <v>16</v>
      </c>
      <c r="D191" s="6">
        <v>45456</v>
      </c>
      <c r="E191" s="5">
        <v>8.9</v>
      </c>
      <c r="F191" s="5">
        <v>5.5</v>
      </c>
      <c r="G191" s="5">
        <v>2.5</v>
      </c>
      <c r="H191" s="5" t="s">
        <v>42</v>
      </c>
      <c r="I191" s="5" t="s">
        <v>34</v>
      </c>
      <c r="J191" s="5" t="s">
        <v>19</v>
      </c>
      <c r="K191" s="5" t="s">
        <v>35</v>
      </c>
      <c r="L191" s="8">
        <v>61.8</v>
      </c>
      <c r="M191" s="5">
        <v>28.09</v>
      </c>
      <c r="N191" s="5">
        <v>3.4</v>
      </c>
    </row>
    <row r="192" spans="1:14" x14ac:dyDescent="0.3">
      <c r="A192" s="2" t="s">
        <v>52</v>
      </c>
      <c r="B192" s="2" t="s">
        <v>53</v>
      </c>
      <c r="C192" s="2" t="s">
        <v>39</v>
      </c>
      <c r="D192" s="3">
        <v>45333</v>
      </c>
      <c r="E192" s="2">
        <v>7.6</v>
      </c>
      <c r="F192" s="2">
        <v>7.2</v>
      </c>
      <c r="G192" s="2">
        <v>0.3</v>
      </c>
      <c r="H192" s="2" t="s">
        <v>33</v>
      </c>
      <c r="I192" s="2" t="s">
        <v>34</v>
      </c>
      <c r="J192" s="2" t="s">
        <v>19</v>
      </c>
      <c r="K192" s="2" t="s">
        <v>35</v>
      </c>
      <c r="L192" s="7">
        <v>94.74</v>
      </c>
      <c r="M192" s="2">
        <v>3.95</v>
      </c>
      <c r="N192" s="2">
        <v>0.4</v>
      </c>
    </row>
    <row r="193" spans="1:14" x14ac:dyDescent="0.3">
      <c r="A193" s="5" t="s">
        <v>64</v>
      </c>
      <c r="B193" s="5" t="s">
        <v>65</v>
      </c>
      <c r="C193" s="5" t="s">
        <v>32</v>
      </c>
      <c r="D193" s="6">
        <v>45298</v>
      </c>
      <c r="E193" s="5">
        <v>8.5</v>
      </c>
      <c r="F193" s="5">
        <v>5.4</v>
      </c>
      <c r="G193" s="5">
        <v>2.7</v>
      </c>
      <c r="H193" s="5" t="s">
        <v>33</v>
      </c>
      <c r="I193" s="5" t="s">
        <v>34</v>
      </c>
      <c r="J193" s="5" t="s">
        <v>19</v>
      </c>
      <c r="K193" s="5" t="s">
        <v>35</v>
      </c>
      <c r="L193" s="8">
        <v>63.53</v>
      </c>
      <c r="M193" s="5">
        <v>31.76</v>
      </c>
      <c r="N193" s="5">
        <v>3.1</v>
      </c>
    </row>
    <row r="194" spans="1:14" x14ac:dyDescent="0.3">
      <c r="A194" s="2" t="s">
        <v>26</v>
      </c>
      <c r="B194" s="2" t="s">
        <v>27</v>
      </c>
      <c r="C194" s="2" t="s">
        <v>16</v>
      </c>
      <c r="D194" s="3">
        <v>45373</v>
      </c>
      <c r="E194" s="2">
        <v>11.6</v>
      </c>
      <c r="F194" s="2">
        <v>10.5</v>
      </c>
      <c r="G194" s="2">
        <v>0.5</v>
      </c>
      <c r="H194" s="2" t="s">
        <v>56</v>
      </c>
      <c r="I194" s="2" t="s">
        <v>34</v>
      </c>
      <c r="J194" s="2" t="s">
        <v>29</v>
      </c>
      <c r="K194" s="2" t="s">
        <v>35</v>
      </c>
      <c r="L194" s="7">
        <v>90.52</v>
      </c>
      <c r="M194" s="2">
        <v>4.3099999999999996</v>
      </c>
      <c r="N194" s="2">
        <v>1.1000000000000001</v>
      </c>
    </row>
    <row r="195" spans="1:14" x14ac:dyDescent="0.3">
      <c r="A195" s="5" t="s">
        <v>45</v>
      </c>
      <c r="B195" s="5" t="s">
        <v>46</v>
      </c>
      <c r="C195" s="5" t="s">
        <v>32</v>
      </c>
      <c r="D195" s="6">
        <v>45412</v>
      </c>
      <c r="E195" s="5">
        <v>10.199999999999999</v>
      </c>
      <c r="F195" s="5">
        <v>4.9000000000000004</v>
      </c>
      <c r="G195" s="5">
        <v>4.5999999999999996</v>
      </c>
      <c r="H195" s="5" t="s">
        <v>33</v>
      </c>
      <c r="I195" s="5" t="s">
        <v>34</v>
      </c>
      <c r="J195" s="5" t="s">
        <v>50</v>
      </c>
      <c r="K195" s="5" t="s">
        <v>20</v>
      </c>
      <c r="L195" s="4">
        <v>48.04</v>
      </c>
      <c r="M195" s="5">
        <v>45.1</v>
      </c>
      <c r="N195" s="5">
        <v>5.3</v>
      </c>
    </row>
    <row r="196" spans="1:14" x14ac:dyDescent="0.3">
      <c r="A196" s="2" t="s">
        <v>52</v>
      </c>
      <c r="B196" s="2" t="s">
        <v>53</v>
      </c>
      <c r="C196" s="2" t="s">
        <v>16</v>
      </c>
      <c r="D196" s="3">
        <v>45357</v>
      </c>
      <c r="E196" s="2">
        <v>7.3</v>
      </c>
      <c r="F196" s="2">
        <v>3.6</v>
      </c>
      <c r="G196" s="2">
        <v>2.8</v>
      </c>
      <c r="H196" s="2" t="s">
        <v>48</v>
      </c>
      <c r="I196" s="2" t="s">
        <v>34</v>
      </c>
      <c r="J196" s="2" t="s">
        <v>49</v>
      </c>
      <c r="K196" s="2" t="s">
        <v>35</v>
      </c>
      <c r="L196" s="4">
        <v>49.32</v>
      </c>
      <c r="M196" s="2">
        <v>38.36</v>
      </c>
      <c r="N196" s="2">
        <v>3.7</v>
      </c>
    </row>
    <row r="197" spans="1:14" x14ac:dyDescent="0.3">
      <c r="A197" s="5" t="s">
        <v>59</v>
      </c>
      <c r="B197" s="5" t="s">
        <v>60</v>
      </c>
      <c r="C197" s="5" t="s">
        <v>47</v>
      </c>
      <c r="D197" s="6">
        <v>45369</v>
      </c>
      <c r="E197" s="5">
        <v>6.7</v>
      </c>
      <c r="F197" s="5">
        <v>3.6</v>
      </c>
      <c r="G197" s="5">
        <v>2.5</v>
      </c>
      <c r="H197" s="5" t="s">
        <v>48</v>
      </c>
      <c r="I197" s="5" t="s">
        <v>34</v>
      </c>
      <c r="J197" s="5" t="s">
        <v>51</v>
      </c>
      <c r="K197" s="5" t="s">
        <v>35</v>
      </c>
      <c r="L197" s="4">
        <v>53.73</v>
      </c>
      <c r="M197" s="5">
        <v>37.31</v>
      </c>
      <c r="N197" s="5">
        <v>3.1</v>
      </c>
    </row>
    <row r="198" spans="1:14" x14ac:dyDescent="0.3">
      <c r="A198" s="2" t="s">
        <v>52</v>
      </c>
      <c r="B198" s="2" t="s">
        <v>53</v>
      </c>
      <c r="C198" s="2" t="s">
        <v>39</v>
      </c>
      <c r="D198" s="3">
        <v>45419</v>
      </c>
      <c r="E198" s="2">
        <v>9.6</v>
      </c>
      <c r="F198" s="2">
        <v>3.9</v>
      </c>
      <c r="G198" s="2">
        <v>5.2</v>
      </c>
      <c r="H198" s="2" t="s">
        <v>37</v>
      </c>
      <c r="I198" s="2" t="s">
        <v>34</v>
      </c>
      <c r="J198" s="2" t="s">
        <v>29</v>
      </c>
      <c r="K198" s="2" t="s">
        <v>20</v>
      </c>
      <c r="L198" s="4">
        <v>40.619999999999997</v>
      </c>
      <c r="M198" s="2">
        <v>54.17</v>
      </c>
      <c r="N198" s="2">
        <v>5.7</v>
      </c>
    </row>
    <row r="199" spans="1:14" x14ac:dyDescent="0.3">
      <c r="A199" s="5" t="s">
        <v>59</v>
      </c>
      <c r="B199" s="5" t="s">
        <v>60</v>
      </c>
      <c r="C199" s="5" t="s">
        <v>23</v>
      </c>
      <c r="D199" s="6">
        <v>45292</v>
      </c>
      <c r="E199" s="5">
        <v>9.6999999999999993</v>
      </c>
      <c r="F199" s="5">
        <v>5.3</v>
      </c>
      <c r="G199" s="5">
        <v>4</v>
      </c>
      <c r="H199" s="5" t="s">
        <v>42</v>
      </c>
      <c r="I199" s="5" t="s">
        <v>34</v>
      </c>
      <c r="J199" s="5" t="s">
        <v>19</v>
      </c>
      <c r="K199" s="5" t="s">
        <v>20</v>
      </c>
      <c r="L199" s="4">
        <v>54.64</v>
      </c>
      <c r="M199" s="5">
        <v>41.24</v>
      </c>
      <c r="N199" s="5">
        <v>4.4000000000000004</v>
      </c>
    </row>
    <row r="200" spans="1:14" x14ac:dyDescent="0.3">
      <c r="A200" s="2" t="s">
        <v>57</v>
      </c>
      <c r="B200" s="2" t="s">
        <v>58</v>
      </c>
      <c r="C200" s="2" t="s">
        <v>32</v>
      </c>
      <c r="D200" s="3">
        <v>45309</v>
      </c>
      <c r="E200" s="2">
        <v>11.7</v>
      </c>
      <c r="F200" s="2">
        <v>8.5</v>
      </c>
      <c r="G200" s="2">
        <v>2.4</v>
      </c>
      <c r="H200" s="2" t="s">
        <v>48</v>
      </c>
      <c r="I200" s="2" t="s">
        <v>34</v>
      </c>
      <c r="J200" s="2" t="s">
        <v>50</v>
      </c>
      <c r="K200" s="2" t="s">
        <v>25</v>
      </c>
      <c r="L200" s="8">
        <v>72.650000000000006</v>
      </c>
      <c r="M200" s="2">
        <v>20.51</v>
      </c>
      <c r="N200" s="2">
        <v>3.2</v>
      </c>
    </row>
    <row r="201" spans="1:14" x14ac:dyDescent="0.3">
      <c r="A201" s="5" t="s">
        <v>64</v>
      </c>
      <c r="B201" s="5" t="s">
        <v>65</v>
      </c>
      <c r="C201" s="5" t="s">
        <v>16</v>
      </c>
      <c r="D201" s="6">
        <v>45454</v>
      </c>
      <c r="E201" s="5">
        <v>8.3000000000000007</v>
      </c>
      <c r="F201" s="5">
        <v>5.2</v>
      </c>
      <c r="G201" s="5">
        <v>2.4</v>
      </c>
      <c r="H201" s="5" t="s">
        <v>61</v>
      </c>
      <c r="I201" s="5" t="s">
        <v>34</v>
      </c>
      <c r="J201" s="5" t="s">
        <v>19</v>
      </c>
      <c r="K201" s="5" t="s">
        <v>35</v>
      </c>
      <c r="L201" s="8">
        <v>62.65</v>
      </c>
      <c r="M201" s="5">
        <v>28.92</v>
      </c>
      <c r="N201" s="5">
        <v>3.1</v>
      </c>
    </row>
    <row r="202" spans="1:14" x14ac:dyDescent="0.3">
      <c r="A202" s="2" t="s">
        <v>26</v>
      </c>
      <c r="B202" s="2" t="s">
        <v>27</v>
      </c>
      <c r="C202" s="2" t="s">
        <v>41</v>
      </c>
      <c r="D202" s="3">
        <v>45460</v>
      </c>
      <c r="E202" s="2">
        <v>9.8000000000000007</v>
      </c>
      <c r="F202" s="2">
        <v>8.5</v>
      </c>
      <c r="G202" s="2">
        <v>0.6</v>
      </c>
      <c r="H202" s="2" t="s">
        <v>61</v>
      </c>
      <c r="I202" s="2" t="s">
        <v>34</v>
      </c>
      <c r="J202" s="2" t="s">
        <v>29</v>
      </c>
      <c r="K202" s="2" t="s">
        <v>35</v>
      </c>
      <c r="L202" s="7">
        <v>86.73</v>
      </c>
      <c r="M202" s="2">
        <v>6.12</v>
      </c>
      <c r="N202" s="2">
        <v>1.3</v>
      </c>
    </row>
    <row r="203" spans="1:14" x14ac:dyDescent="0.3">
      <c r="A203" s="5" t="s">
        <v>30</v>
      </c>
      <c r="B203" s="5" t="s">
        <v>31</v>
      </c>
      <c r="C203" s="5" t="s">
        <v>36</v>
      </c>
      <c r="D203" s="6">
        <v>45378</v>
      </c>
      <c r="E203" s="5">
        <v>10.9</v>
      </c>
      <c r="F203" s="5">
        <v>5.5</v>
      </c>
      <c r="G203" s="5">
        <v>4.5999999999999996</v>
      </c>
      <c r="H203" s="5" t="s">
        <v>33</v>
      </c>
      <c r="I203" s="5" t="s">
        <v>34</v>
      </c>
      <c r="J203" s="5" t="s">
        <v>51</v>
      </c>
      <c r="K203" s="5" t="s">
        <v>20</v>
      </c>
      <c r="L203" s="4">
        <v>50.46</v>
      </c>
      <c r="M203" s="5">
        <v>42.2</v>
      </c>
      <c r="N203" s="5">
        <v>5.4</v>
      </c>
    </row>
    <row r="204" spans="1:14" x14ac:dyDescent="0.3">
      <c r="A204" s="2" t="s">
        <v>14</v>
      </c>
      <c r="B204" s="2" t="s">
        <v>15</v>
      </c>
      <c r="C204" s="2" t="s">
        <v>47</v>
      </c>
      <c r="D204" s="3">
        <v>45326</v>
      </c>
      <c r="E204" s="2">
        <v>6.4</v>
      </c>
      <c r="F204" s="2">
        <v>5.5</v>
      </c>
      <c r="G204" s="2">
        <v>0.4</v>
      </c>
      <c r="H204" s="2" t="s">
        <v>61</v>
      </c>
      <c r="I204" s="2" t="s">
        <v>34</v>
      </c>
      <c r="J204" s="2" t="s">
        <v>24</v>
      </c>
      <c r="K204" s="2" t="s">
        <v>35</v>
      </c>
      <c r="L204" s="7">
        <v>85.94</v>
      </c>
      <c r="M204" s="2">
        <v>6.25</v>
      </c>
      <c r="N204" s="2">
        <v>0.9</v>
      </c>
    </row>
    <row r="205" spans="1:14" x14ac:dyDescent="0.3">
      <c r="A205" s="5" t="s">
        <v>26</v>
      </c>
      <c r="B205" s="5" t="s">
        <v>27</v>
      </c>
      <c r="C205" s="5" t="s">
        <v>16</v>
      </c>
      <c r="D205" s="6">
        <v>45372</v>
      </c>
      <c r="E205" s="5">
        <v>11.6</v>
      </c>
      <c r="F205" s="5">
        <v>8.1999999999999993</v>
      </c>
      <c r="G205" s="5">
        <v>2.4</v>
      </c>
      <c r="H205" s="5" t="s">
        <v>48</v>
      </c>
      <c r="I205" s="5" t="s">
        <v>34</v>
      </c>
      <c r="J205" s="5" t="s">
        <v>51</v>
      </c>
      <c r="K205" s="5" t="s">
        <v>35</v>
      </c>
      <c r="L205" s="8">
        <v>70.69</v>
      </c>
      <c r="M205" s="5">
        <v>20.69</v>
      </c>
      <c r="N205" s="5">
        <v>3.4</v>
      </c>
    </row>
    <row r="206" spans="1:14" x14ac:dyDescent="0.3">
      <c r="A206" s="2" t="s">
        <v>45</v>
      </c>
      <c r="B206" s="2" t="s">
        <v>46</v>
      </c>
      <c r="C206" s="2" t="s">
        <v>39</v>
      </c>
      <c r="D206" s="3">
        <v>45457</v>
      </c>
      <c r="E206" s="2">
        <v>7.1</v>
      </c>
      <c r="F206" s="2">
        <v>4.4000000000000004</v>
      </c>
      <c r="G206" s="2">
        <v>1.9</v>
      </c>
      <c r="H206" s="2" t="s">
        <v>56</v>
      </c>
      <c r="I206" s="2" t="s">
        <v>34</v>
      </c>
      <c r="J206" s="2" t="s">
        <v>40</v>
      </c>
      <c r="K206" s="2" t="s">
        <v>35</v>
      </c>
      <c r="L206" s="8">
        <v>61.97</v>
      </c>
      <c r="M206" s="2">
        <v>26.76</v>
      </c>
      <c r="N206" s="2">
        <v>2.7</v>
      </c>
    </row>
    <row r="207" spans="1:14" x14ac:dyDescent="0.3">
      <c r="A207" s="5" t="s">
        <v>52</v>
      </c>
      <c r="B207" s="5" t="s">
        <v>53</v>
      </c>
      <c r="C207" s="5" t="s">
        <v>39</v>
      </c>
      <c r="D207" s="6">
        <v>45386</v>
      </c>
      <c r="E207" s="5">
        <v>8.6</v>
      </c>
      <c r="F207" s="5">
        <v>5.5</v>
      </c>
      <c r="G207" s="5">
        <v>2.7</v>
      </c>
      <c r="H207" s="5" t="s">
        <v>33</v>
      </c>
      <c r="I207" s="5" t="s">
        <v>34</v>
      </c>
      <c r="J207" s="5" t="s">
        <v>40</v>
      </c>
      <c r="K207" s="5" t="s">
        <v>35</v>
      </c>
      <c r="L207" s="8">
        <v>63.95</v>
      </c>
      <c r="M207" s="5">
        <v>31.4</v>
      </c>
      <c r="N207" s="5">
        <v>3.1</v>
      </c>
    </row>
    <row r="208" spans="1:14" x14ac:dyDescent="0.3">
      <c r="A208" s="2" t="s">
        <v>64</v>
      </c>
      <c r="B208" s="2" t="s">
        <v>65</v>
      </c>
      <c r="C208" s="2" t="s">
        <v>41</v>
      </c>
      <c r="D208" s="3">
        <v>45419</v>
      </c>
      <c r="E208" s="2">
        <v>8.1999999999999993</v>
      </c>
      <c r="F208" s="2">
        <v>7.2</v>
      </c>
      <c r="G208" s="2">
        <v>0.7</v>
      </c>
      <c r="H208" s="2" t="s">
        <v>17</v>
      </c>
      <c r="I208" s="2" t="s">
        <v>18</v>
      </c>
      <c r="J208" s="2" t="s">
        <v>49</v>
      </c>
      <c r="K208" s="2" t="s">
        <v>35</v>
      </c>
      <c r="L208" s="7">
        <v>87.8</v>
      </c>
      <c r="M208" s="2">
        <v>8.5399999999999991</v>
      </c>
      <c r="N208" s="2">
        <v>1</v>
      </c>
    </row>
    <row r="209" spans="1:14" x14ac:dyDescent="0.3">
      <c r="A209" s="5" t="s">
        <v>54</v>
      </c>
      <c r="B209" s="5" t="s">
        <v>55</v>
      </c>
      <c r="C209" s="5" t="s">
        <v>36</v>
      </c>
      <c r="D209" s="6">
        <v>45338</v>
      </c>
      <c r="E209" s="5">
        <v>9.3000000000000007</v>
      </c>
      <c r="F209" s="5">
        <v>5.5</v>
      </c>
      <c r="G209" s="5">
        <v>3.7</v>
      </c>
      <c r="H209" s="5" t="s">
        <v>42</v>
      </c>
      <c r="I209" s="5" t="s">
        <v>34</v>
      </c>
      <c r="J209" s="5" t="s">
        <v>38</v>
      </c>
      <c r="K209" s="5" t="s">
        <v>20</v>
      </c>
      <c r="L209" s="4">
        <v>59.14</v>
      </c>
      <c r="M209" s="5">
        <v>39.78</v>
      </c>
      <c r="N209" s="5">
        <v>3.8</v>
      </c>
    </row>
    <row r="210" spans="1:14" x14ac:dyDescent="0.3">
      <c r="A210" s="2" t="s">
        <v>59</v>
      </c>
      <c r="B210" s="2" t="s">
        <v>60</v>
      </c>
      <c r="C210" s="2" t="s">
        <v>23</v>
      </c>
      <c r="D210" s="3">
        <v>45446</v>
      </c>
      <c r="E210" s="2">
        <v>10.3</v>
      </c>
      <c r="F210" s="2">
        <v>5.0999999999999996</v>
      </c>
      <c r="G210" s="2">
        <v>4.8</v>
      </c>
      <c r="H210" s="2" t="s">
        <v>33</v>
      </c>
      <c r="I210" s="2" t="s">
        <v>34</v>
      </c>
      <c r="J210" s="2" t="s">
        <v>50</v>
      </c>
      <c r="K210" s="2" t="s">
        <v>20</v>
      </c>
      <c r="L210" s="4">
        <v>49.51</v>
      </c>
      <c r="M210" s="2">
        <v>46.6</v>
      </c>
      <c r="N210" s="2">
        <v>5.2</v>
      </c>
    </row>
    <row r="211" spans="1:14" x14ac:dyDescent="0.3">
      <c r="A211" s="5" t="s">
        <v>62</v>
      </c>
      <c r="B211" s="5" t="s">
        <v>63</v>
      </c>
      <c r="C211" s="5" t="s">
        <v>39</v>
      </c>
      <c r="D211" s="6">
        <v>45382</v>
      </c>
      <c r="E211" s="5">
        <v>9.6999999999999993</v>
      </c>
      <c r="F211" s="5">
        <v>6.4</v>
      </c>
      <c r="G211" s="5">
        <v>2.7</v>
      </c>
      <c r="H211" s="5" t="s">
        <v>56</v>
      </c>
      <c r="I211" s="5" t="s">
        <v>34</v>
      </c>
      <c r="J211" s="5" t="s">
        <v>50</v>
      </c>
      <c r="K211" s="5" t="s">
        <v>35</v>
      </c>
      <c r="L211" s="8">
        <v>65.98</v>
      </c>
      <c r="M211" s="5">
        <v>27.84</v>
      </c>
      <c r="N211" s="5">
        <v>3.3</v>
      </c>
    </row>
    <row r="212" spans="1:14" x14ac:dyDescent="0.3">
      <c r="A212" s="2" t="s">
        <v>14</v>
      </c>
      <c r="B212" s="2" t="s">
        <v>15</v>
      </c>
      <c r="C212" s="2" t="s">
        <v>41</v>
      </c>
      <c r="D212" s="3">
        <v>45395</v>
      </c>
      <c r="E212" s="2">
        <v>8.1999999999999993</v>
      </c>
      <c r="F212" s="2">
        <v>7.2</v>
      </c>
      <c r="G212" s="2">
        <v>0.3</v>
      </c>
      <c r="H212" s="2" t="s">
        <v>17</v>
      </c>
      <c r="I212" s="2" t="s">
        <v>18</v>
      </c>
      <c r="J212" s="2" t="s">
        <v>29</v>
      </c>
      <c r="K212" s="2" t="s">
        <v>25</v>
      </c>
      <c r="L212" s="7">
        <v>87.8</v>
      </c>
      <c r="M212" s="2">
        <v>3.66</v>
      </c>
      <c r="N212" s="2">
        <v>1</v>
      </c>
    </row>
    <row r="213" spans="1:14" x14ac:dyDescent="0.3">
      <c r="A213" s="5" t="s">
        <v>45</v>
      </c>
      <c r="B213" s="5" t="s">
        <v>46</v>
      </c>
      <c r="C213" s="5" t="s">
        <v>47</v>
      </c>
      <c r="D213" s="6">
        <v>45309</v>
      </c>
      <c r="E213" s="5">
        <v>7.4</v>
      </c>
      <c r="F213" s="5">
        <v>5.8</v>
      </c>
      <c r="G213" s="5">
        <v>1.2</v>
      </c>
      <c r="H213" s="5" t="s">
        <v>48</v>
      </c>
      <c r="I213" s="5" t="s">
        <v>34</v>
      </c>
      <c r="J213" s="5" t="s">
        <v>50</v>
      </c>
      <c r="K213" s="5" t="s">
        <v>35</v>
      </c>
      <c r="L213" s="8">
        <v>78.38</v>
      </c>
      <c r="M213" s="5">
        <v>16.22</v>
      </c>
      <c r="N213" s="5">
        <v>1.6</v>
      </c>
    </row>
    <row r="214" spans="1:14" x14ac:dyDescent="0.3">
      <c r="A214" s="2" t="s">
        <v>14</v>
      </c>
      <c r="B214" s="2" t="s">
        <v>15</v>
      </c>
      <c r="C214" s="2" t="s">
        <v>23</v>
      </c>
      <c r="D214" s="3">
        <v>45386</v>
      </c>
      <c r="E214" s="2">
        <v>8.1999999999999993</v>
      </c>
      <c r="F214" s="2">
        <v>7</v>
      </c>
      <c r="G214" s="2">
        <v>0.6</v>
      </c>
      <c r="H214" s="2" t="s">
        <v>48</v>
      </c>
      <c r="I214" s="2" t="s">
        <v>34</v>
      </c>
      <c r="J214" s="2" t="s">
        <v>40</v>
      </c>
      <c r="K214" s="2" t="s">
        <v>25</v>
      </c>
      <c r="L214" s="7">
        <v>85.37</v>
      </c>
      <c r="M214" s="2">
        <v>7.32</v>
      </c>
      <c r="N214" s="2">
        <v>1.2</v>
      </c>
    </row>
    <row r="215" spans="1:14" x14ac:dyDescent="0.3">
      <c r="A215" s="5" t="s">
        <v>30</v>
      </c>
      <c r="B215" s="5" t="s">
        <v>31</v>
      </c>
      <c r="C215" s="5" t="s">
        <v>41</v>
      </c>
      <c r="D215" s="6">
        <v>45363</v>
      </c>
      <c r="E215" s="5">
        <v>7.5</v>
      </c>
      <c r="F215" s="5">
        <v>3.5</v>
      </c>
      <c r="G215" s="5">
        <v>3.3</v>
      </c>
      <c r="H215" s="5" t="s">
        <v>33</v>
      </c>
      <c r="I215" s="5" t="s">
        <v>34</v>
      </c>
      <c r="J215" s="5" t="s">
        <v>49</v>
      </c>
      <c r="K215" s="5" t="s">
        <v>20</v>
      </c>
      <c r="L215" s="4">
        <v>46.67</v>
      </c>
      <c r="M215" s="5">
        <v>44</v>
      </c>
      <c r="N215" s="5">
        <v>4</v>
      </c>
    </row>
    <row r="216" spans="1:14" x14ac:dyDescent="0.3">
      <c r="A216" s="2" t="s">
        <v>57</v>
      </c>
      <c r="B216" s="2" t="s">
        <v>58</v>
      </c>
      <c r="C216" s="2" t="s">
        <v>16</v>
      </c>
      <c r="D216" s="3">
        <v>45359</v>
      </c>
      <c r="E216" s="2">
        <v>10.6</v>
      </c>
      <c r="F216" s="2">
        <v>8.6999999999999993</v>
      </c>
      <c r="G216" s="2">
        <v>1.7</v>
      </c>
      <c r="H216" s="2" t="s">
        <v>48</v>
      </c>
      <c r="I216" s="2" t="s">
        <v>34</v>
      </c>
      <c r="J216" s="2" t="s">
        <v>38</v>
      </c>
      <c r="K216" s="2" t="s">
        <v>25</v>
      </c>
      <c r="L216" s="7">
        <v>82.08</v>
      </c>
      <c r="M216" s="2">
        <v>16.04</v>
      </c>
      <c r="N216" s="2">
        <v>1.9</v>
      </c>
    </row>
    <row r="217" spans="1:14" x14ac:dyDescent="0.3">
      <c r="A217" s="5" t="s">
        <v>26</v>
      </c>
      <c r="B217" s="5" t="s">
        <v>27</v>
      </c>
      <c r="C217" s="5" t="s">
        <v>16</v>
      </c>
      <c r="D217" s="6">
        <v>45326</v>
      </c>
      <c r="E217" s="5">
        <v>11.1</v>
      </c>
      <c r="F217" s="5">
        <v>7.5</v>
      </c>
      <c r="G217" s="5">
        <v>2.7</v>
      </c>
      <c r="H217" s="5" t="s">
        <v>33</v>
      </c>
      <c r="I217" s="5" t="s">
        <v>34</v>
      </c>
      <c r="J217" s="5" t="s">
        <v>19</v>
      </c>
      <c r="K217" s="5" t="s">
        <v>35</v>
      </c>
      <c r="L217" s="8">
        <v>67.569999999999993</v>
      </c>
      <c r="M217" s="5">
        <v>24.32</v>
      </c>
      <c r="N217" s="5">
        <v>3.6</v>
      </c>
    </row>
    <row r="218" spans="1:14" x14ac:dyDescent="0.3">
      <c r="A218" s="2" t="s">
        <v>14</v>
      </c>
      <c r="B218" s="2" t="s">
        <v>15</v>
      </c>
      <c r="C218" s="2" t="s">
        <v>32</v>
      </c>
      <c r="D218" s="3">
        <v>45308</v>
      </c>
      <c r="E218" s="2">
        <v>9.3000000000000007</v>
      </c>
      <c r="F218" s="2">
        <v>5.3</v>
      </c>
      <c r="G218" s="2">
        <v>3.7</v>
      </c>
      <c r="H218" s="2" t="s">
        <v>37</v>
      </c>
      <c r="I218" s="2" t="s">
        <v>34</v>
      </c>
      <c r="J218" s="2" t="s">
        <v>29</v>
      </c>
      <c r="K218" s="2" t="s">
        <v>20</v>
      </c>
      <c r="L218" s="4">
        <v>56.99</v>
      </c>
      <c r="M218" s="2">
        <v>39.78</v>
      </c>
      <c r="N218" s="2">
        <v>4</v>
      </c>
    </row>
    <row r="219" spans="1:14" x14ac:dyDescent="0.3">
      <c r="A219" s="5" t="s">
        <v>30</v>
      </c>
      <c r="B219" s="5" t="s">
        <v>31</v>
      </c>
      <c r="C219" s="5" t="s">
        <v>36</v>
      </c>
      <c r="D219" s="6">
        <v>45349</v>
      </c>
      <c r="E219" s="5">
        <v>6.7</v>
      </c>
      <c r="F219" s="5">
        <v>3.5</v>
      </c>
      <c r="G219" s="5">
        <v>3.1</v>
      </c>
      <c r="H219" s="5" t="s">
        <v>56</v>
      </c>
      <c r="I219" s="5" t="s">
        <v>34</v>
      </c>
      <c r="J219" s="5" t="s">
        <v>51</v>
      </c>
      <c r="K219" s="5" t="s">
        <v>20</v>
      </c>
      <c r="L219" s="4">
        <v>52.24</v>
      </c>
      <c r="M219" s="5">
        <v>46.27</v>
      </c>
      <c r="N219" s="5">
        <v>3.2</v>
      </c>
    </row>
    <row r="220" spans="1:14" x14ac:dyDescent="0.3">
      <c r="A220" s="2" t="s">
        <v>45</v>
      </c>
      <c r="B220" s="2" t="s">
        <v>46</v>
      </c>
      <c r="C220" s="2" t="s">
        <v>32</v>
      </c>
      <c r="D220" s="3">
        <v>45433</v>
      </c>
      <c r="E220" s="2">
        <v>9.4</v>
      </c>
      <c r="F220" s="2">
        <v>6.4</v>
      </c>
      <c r="G220" s="2">
        <v>2</v>
      </c>
      <c r="H220" s="2" t="s">
        <v>37</v>
      </c>
      <c r="I220" s="2" t="s">
        <v>34</v>
      </c>
      <c r="J220" s="2" t="s">
        <v>19</v>
      </c>
      <c r="K220" s="2" t="s">
        <v>35</v>
      </c>
      <c r="L220" s="8">
        <v>68.09</v>
      </c>
      <c r="M220" s="2">
        <v>21.28</v>
      </c>
      <c r="N220" s="2">
        <v>3</v>
      </c>
    </row>
    <row r="221" spans="1:14" x14ac:dyDescent="0.3">
      <c r="A221" s="5" t="s">
        <v>59</v>
      </c>
      <c r="B221" s="5" t="s">
        <v>60</v>
      </c>
      <c r="C221" s="5" t="s">
        <v>23</v>
      </c>
      <c r="D221" s="6">
        <v>45414</v>
      </c>
      <c r="E221" s="5">
        <v>9.1999999999999993</v>
      </c>
      <c r="F221" s="5">
        <v>7.9</v>
      </c>
      <c r="G221" s="5">
        <v>0.5</v>
      </c>
      <c r="H221" s="5" t="s">
        <v>17</v>
      </c>
      <c r="I221" s="5" t="s">
        <v>18</v>
      </c>
      <c r="J221" s="5" t="s">
        <v>29</v>
      </c>
      <c r="K221" s="5" t="s">
        <v>35</v>
      </c>
      <c r="L221" s="7">
        <v>85.87</v>
      </c>
      <c r="M221" s="5">
        <v>5.43</v>
      </c>
      <c r="N221" s="5">
        <v>1.3</v>
      </c>
    </row>
    <row r="222" spans="1:14" x14ac:dyDescent="0.3">
      <c r="A222" s="2" t="s">
        <v>14</v>
      </c>
      <c r="B222" s="2" t="s">
        <v>15</v>
      </c>
      <c r="C222" s="2" t="s">
        <v>16</v>
      </c>
      <c r="D222" s="3">
        <v>45407</v>
      </c>
      <c r="E222" s="2">
        <v>8.8000000000000007</v>
      </c>
      <c r="F222" s="2">
        <v>6.3</v>
      </c>
      <c r="G222" s="2">
        <v>2.4</v>
      </c>
      <c r="H222" s="2" t="s">
        <v>56</v>
      </c>
      <c r="I222" s="2" t="s">
        <v>34</v>
      </c>
      <c r="J222" s="2" t="s">
        <v>29</v>
      </c>
      <c r="K222" s="2" t="s">
        <v>35</v>
      </c>
      <c r="L222" s="8">
        <v>71.59</v>
      </c>
      <c r="M222" s="2">
        <v>27.27</v>
      </c>
      <c r="N222" s="2">
        <v>2.5</v>
      </c>
    </row>
    <row r="223" spans="1:14" x14ac:dyDescent="0.3">
      <c r="A223" s="5" t="s">
        <v>54</v>
      </c>
      <c r="B223" s="5" t="s">
        <v>55</v>
      </c>
      <c r="C223" s="5" t="s">
        <v>36</v>
      </c>
      <c r="D223" s="6">
        <v>45306</v>
      </c>
      <c r="E223" s="5">
        <v>11</v>
      </c>
      <c r="F223" s="5">
        <v>7.8</v>
      </c>
      <c r="G223" s="5">
        <v>2.9</v>
      </c>
      <c r="H223" s="5" t="s">
        <v>37</v>
      </c>
      <c r="I223" s="5" t="s">
        <v>34</v>
      </c>
      <c r="J223" s="5" t="s">
        <v>40</v>
      </c>
      <c r="K223" s="5" t="s">
        <v>35</v>
      </c>
      <c r="L223" s="8">
        <v>70.91</v>
      </c>
      <c r="M223" s="5">
        <v>26.36</v>
      </c>
      <c r="N223" s="5">
        <v>3.2</v>
      </c>
    </row>
    <row r="224" spans="1:14" x14ac:dyDescent="0.3">
      <c r="A224" s="2" t="s">
        <v>30</v>
      </c>
      <c r="B224" s="2" t="s">
        <v>31</v>
      </c>
      <c r="C224" s="2" t="s">
        <v>36</v>
      </c>
      <c r="D224" s="3">
        <v>45364</v>
      </c>
      <c r="E224" s="2">
        <v>11.1</v>
      </c>
      <c r="F224" s="2">
        <v>6.1</v>
      </c>
      <c r="G224" s="2">
        <v>4.4000000000000004</v>
      </c>
      <c r="H224" s="2" t="s">
        <v>48</v>
      </c>
      <c r="I224" s="2" t="s">
        <v>34</v>
      </c>
      <c r="J224" s="2" t="s">
        <v>38</v>
      </c>
      <c r="K224" s="2" t="s">
        <v>20</v>
      </c>
      <c r="L224" s="4">
        <v>54.95</v>
      </c>
      <c r="M224" s="2">
        <v>39.64</v>
      </c>
      <c r="N224" s="2">
        <v>5</v>
      </c>
    </row>
    <row r="225" spans="1:14" x14ac:dyDescent="0.3">
      <c r="A225" s="5" t="s">
        <v>43</v>
      </c>
      <c r="B225" s="5" t="s">
        <v>44</v>
      </c>
      <c r="C225" s="5" t="s">
        <v>41</v>
      </c>
      <c r="D225" s="6">
        <v>45369</v>
      </c>
      <c r="E225" s="5">
        <v>9.6999999999999993</v>
      </c>
      <c r="F225" s="5">
        <v>4.4000000000000004</v>
      </c>
      <c r="G225" s="5">
        <v>4.7</v>
      </c>
      <c r="H225" s="5" t="s">
        <v>48</v>
      </c>
      <c r="I225" s="5" t="s">
        <v>34</v>
      </c>
      <c r="J225" s="5" t="s">
        <v>29</v>
      </c>
      <c r="K225" s="5" t="s">
        <v>20</v>
      </c>
      <c r="L225" s="4">
        <v>45.36</v>
      </c>
      <c r="M225" s="5">
        <v>48.45</v>
      </c>
      <c r="N225" s="5">
        <v>5.3</v>
      </c>
    </row>
    <row r="226" spans="1:14" x14ac:dyDescent="0.3">
      <c r="A226" s="2" t="s">
        <v>43</v>
      </c>
      <c r="B226" s="2" t="s">
        <v>44</v>
      </c>
      <c r="C226" s="2" t="s">
        <v>41</v>
      </c>
      <c r="D226" s="3">
        <v>45451</v>
      </c>
      <c r="E226" s="2">
        <v>10.3</v>
      </c>
      <c r="F226" s="2">
        <v>7.9</v>
      </c>
      <c r="G226" s="2">
        <v>1.6</v>
      </c>
      <c r="H226" s="2" t="s">
        <v>48</v>
      </c>
      <c r="I226" s="2" t="s">
        <v>34</v>
      </c>
      <c r="J226" s="2" t="s">
        <v>50</v>
      </c>
      <c r="K226" s="2" t="s">
        <v>35</v>
      </c>
      <c r="L226" s="8">
        <v>76.7</v>
      </c>
      <c r="M226" s="2">
        <v>15.53</v>
      </c>
      <c r="N226" s="2">
        <v>2.4</v>
      </c>
    </row>
    <row r="227" spans="1:14" x14ac:dyDescent="0.3">
      <c r="A227" s="5" t="s">
        <v>52</v>
      </c>
      <c r="B227" s="5" t="s">
        <v>53</v>
      </c>
      <c r="C227" s="5" t="s">
        <v>16</v>
      </c>
      <c r="D227" s="6">
        <v>45456</v>
      </c>
      <c r="E227" s="5">
        <v>10.6</v>
      </c>
      <c r="F227" s="5">
        <v>5.9</v>
      </c>
      <c r="G227" s="5">
        <v>4.5</v>
      </c>
      <c r="H227" s="5" t="s">
        <v>48</v>
      </c>
      <c r="I227" s="5" t="s">
        <v>34</v>
      </c>
      <c r="J227" s="5" t="s">
        <v>49</v>
      </c>
      <c r="K227" s="5" t="s">
        <v>20</v>
      </c>
      <c r="L227" s="4">
        <v>55.66</v>
      </c>
      <c r="M227" s="5">
        <v>42.45</v>
      </c>
      <c r="N227" s="5">
        <v>4.7</v>
      </c>
    </row>
    <row r="228" spans="1:14" x14ac:dyDescent="0.3">
      <c r="A228" s="2" t="s">
        <v>21</v>
      </c>
      <c r="B228" s="2" t="s">
        <v>22</v>
      </c>
      <c r="C228" s="2" t="s">
        <v>41</v>
      </c>
      <c r="D228" s="3">
        <v>45299</v>
      </c>
      <c r="E228" s="2">
        <v>9</v>
      </c>
      <c r="F228" s="2">
        <v>7</v>
      </c>
      <c r="G228" s="2">
        <v>1.7</v>
      </c>
      <c r="H228" s="2" t="s">
        <v>61</v>
      </c>
      <c r="I228" s="2" t="s">
        <v>34</v>
      </c>
      <c r="J228" s="2" t="s">
        <v>51</v>
      </c>
      <c r="K228" s="2" t="s">
        <v>35</v>
      </c>
      <c r="L228" s="8">
        <v>77.78</v>
      </c>
      <c r="M228" s="2">
        <v>18.89</v>
      </c>
      <c r="N228" s="2">
        <v>2</v>
      </c>
    </row>
    <row r="229" spans="1:14" x14ac:dyDescent="0.3">
      <c r="A229" s="5" t="s">
        <v>14</v>
      </c>
      <c r="B229" s="5" t="s">
        <v>15</v>
      </c>
      <c r="C229" s="5" t="s">
        <v>23</v>
      </c>
      <c r="D229" s="6">
        <v>45368</v>
      </c>
      <c r="E229" s="5">
        <v>8.6999999999999993</v>
      </c>
      <c r="F229" s="5">
        <v>7.1</v>
      </c>
      <c r="G229" s="5">
        <v>1.4</v>
      </c>
      <c r="H229" s="5" t="s">
        <v>33</v>
      </c>
      <c r="I229" s="5" t="s">
        <v>34</v>
      </c>
      <c r="J229" s="5" t="s">
        <v>51</v>
      </c>
      <c r="K229" s="5" t="s">
        <v>25</v>
      </c>
      <c r="L229" s="7">
        <v>81.61</v>
      </c>
      <c r="M229" s="5">
        <v>16.09</v>
      </c>
      <c r="N229" s="5">
        <v>1.6</v>
      </c>
    </row>
    <row r="230" spans="1:14" x14ac:dyDescent="0.3">
      <c r="A230" s="2" t="s">
        <v>26</v>
      </c>
      <c r="B230" s="2" t="s">
        <v>27</v>
      </c>
      <c r="C230" s="2" t="s">
        <v>32</v>
      </c>
      <c r="D230" s="3">
        <v>45447</v>
      </c>
      <c r="E230" s="2">
        <v>6.9</v>
      </c>
      <c r="F230" s="2">
        <v>6.3</v>
      </c>
      <c r="G230" s="2">
        <v>0.3</v>
      </c>
      <c r="H230" s="2" t="s">
        <v>56</v>
      </c>
      <c r="I230" s="2" t="s">
        <v>34</v>
      </c>
      <c r="J230" s="2" t="s">
        <v>40</v>
      </c>
      <c r="K230" s="2" t="s">
        <v>25</v>
      </c>
      <c r="L230" s="7">
        <v>91.3</v>
      </c>
      <c r="M230" s="2">
        <v>4.3499999999999996</v>
      </c>
      <c r="N230" s="2">
        <v>0.6</v>
      </c>
    </row>
    <row r="231" spans="1:14" x14ac:dyDescent="0.3">
      <c r="A231" s="5" t="s">
        <v>43</v>
      </c>
      <c r="B231" s="5" t="s">
        <v>44</v>
      </c>
      <c r="C231" s="5" t="s">
        <v>39</v>
      </c>
      <c r="D231" s="6">
        <v>45386</v>
      </c>
      <c r="E231" s="5">
        <v>9.1</v>
      </c>
      <c r="F231" s="5">
        <v>4.2</v>
      </c>
      <c r="G231" s="5">
        <v>4.7</v>
      </c>
      <c r="H231" s="5" t="s">
        <v>17</v>
      </c>
      <c r="I231" s="5" t="s">
        <v>18</v>
      </c>
      <c r="J231" s="5" t="s">
        <v>38</v>
      </c>
      <c r="K231" s="5" t="s">
        <v>20</v>
      </c>
      <c r="L231" s="4">
        <v>46.15</v>
      </c>
      <c r="M231" s="5">
        <v>51.65</v>
      </c>
      <c r="N231" s="5">
        <v>4.9000000000000004</v>
      </c>
    </row>
    <row r="232" spans="1:14" x14ac:dyDescent="0.3">
      <c r="A232" s="2" t="s">
        <v>64</v>
      </c>
      <c r="B232" s="2" t="s">
        <v>65</v>
      </c>
      <c r="C232" s="2" t="s">
        <v>47</v>
      </c>
      <c r="D232" s="3">
        <v>45328</v>
      </c>
      <c r="E232" s="2">
        <v>6.6</v>
      </c>
      <c r="F232" s="2">
        <v>3.8</v>
      </c>
      <c r="G232" s="2">
        <v>2.4</v>
      </c>
      <c r="H232" s="2" t="s">
        <v>48</v>
      </c>
      <c r="I232" s="2" t="s">
        <v>34</v>
      </c>
      <c r="J232" s="2" t="s">
        <v>49</v>
      </c>
      <c r="K232" s="2" t="s">
        <v>35</v>
      </c>
      <c r="L232" s="4">
        <v>57.58</v>
      </c>
      <c r="M232" s="2">
        <v>36.36</v>
      </c>
      <c r="N232" s="2">
        <v>2.8</v>
      </c>
    </row>
    <row r="233" spans="1:14" x14ac:dyDescent="0.3">
      <c r="A233" s="5" t="s">
        <v>43</v>
      </c>
      <c r="B233" s="5" t="s">
        <v>44</v>
      </c>
      <c r="C233" s="5" t="s">
        <v>39</v>
      </c>
      <c r="D233" s="6">
        <v>45375</v>
      </c>
      <c r="E233" s="5">
        <v>11.6</v>
      </c>
      <c r="F233" s="5">
        <v>9.6999999999999993</v>
      </c>
      <c r="G233" s="5">
        <v>1.7</v>
      </c>
      <c r="H233" s="5" t="s">
        <v>37</v>
      </c>
      <c r="I233" s="5" t="s">
        <v>34</v>
      </c>
      <c r="J233" s="5" t="s">
        <v>51</v>
      </c>
      <c r="K233" s="5" t="s">
        <v>25</v>
      </c>
      <c r="L233" s="7">
        <v>83.62</v>
      </c>
      <c r="M233" s="5">
        <v>14.66</v>
      </c>
      <c r="N233" s="5">
        <v>1.9</v>
      </c>
    </row>
    <row r="234" spans="1:14" x14ac:dyDescent="0.3">
      <c r="A234" s="2" t="s">
        <v>64</v>
      </c>
      <c r="B234" s="2" t="s">
        <v>65</v>
      </c>
      <c r="C234" s="2" t="s">
        <v>32</v>
      </c>
      <c r="D234" s="3">
        <v>45419</v>
      </c>
      <c r="E234" s="2">
        <v>6.1</v>
      </c>
      <c r="F234" s="2">
        <v>5.9</v>
      </c>
      <c r="G234" s="2">
        <v>0</v>
      </c>
      <c r="H234" s="2" t="s">
        <v>28</v>
      </c>
      <c r="I234" s="2" t="s">
        <v>28</v>
      </c>
      <c r="J234" s="2" t="s">
        <v>24</v>
      </c>
      <c r="K234" s="2" t="s">
        <v>35</v>
      </c>
      <c r="L234" s="7">
        <v>96.72</v>
      </c>
      <c r="M234" s="2">
        <v>0</v>
      </c>
      <c r="N234" s="2">
        <v>0.2</v>
      </c>
    </row>
    <row r="235" spans="1:14" x14ac:dyDescent="0.3">
      <c r="A235" s="5" t="s">
        <v>21</v>
      </c>
      <c r="B235" s="5" t="s">
        <v>22</v>
      </c>
      <c r="C235" s="5" t="s">
        <v>32</v>
      </c>
      <c r="D235" s="6">
        <v>45304</v>
      </c>
      <c r="E235" s="5">
        <v>6.3</v>
      </c>
      <c r="F235" s="5">
        <v>4.4000000000000004</v>
      </c>
      <c r="G235" s="5">
        <v>1</v>
      </c>
      <c r="H235" s="5" t="s">
        <v>42</v>
      </c>
      <c r="I235" s="5" t="s">
        <v>34</v>
      </c>
      <c r="J235" s="5" t="s">
        <v>51</v>
      </c>
      <c r="K235" s="5" t="s">
        <v>35</v>
      </c>
      <c r="L235" s="8">
        <v>69.84</v>
      </c>
      <c r="M235" s="5">
        <v>15.87</v>
      </c>
      <c r="N235" s="5">
        <v>1.9</v>
      </c>
    </row>
    <row r="236" spans="1:14" x14ac:dyDescent="0.3">
      <c r="A236" s="2" t="s">
        <v>57</v>
      </c>
      <c r="B236" s="2" t="s">
        <v>58</v>
      </c>
      <c r="C236" s="2" t="s">
        <v>16</v>
      </c>
      <c r="D236" s="3">
        <v>45319</v>
      </c>
      <c r="E236" s="2">
        <v>8.6</v>
      </c>
      <c r="F236" s="2">
        <v>8</v>
      </c>
      <c r="G236" s="2">
        <v>0</v>
      </c>
      <c r="H236" s="2" t="s">
        <v>28</v>
      </c>
      <c r="I236" s="2" t="s">
        <v>28</v>
      </c>
      <c r="J236" s="2" t="s">
        <v>49</v>
      </c>
      <c r="K236" s="2" t="s">
        <v>35</v>
      </c>
      <c r="L236" s="7">
        <v>93.02</v>
      </c>
      <c r="M236" s="2">
        <v>0</v>
      </c>
      <c r="N236" s="2">
        <v>0.6</v>
      </c>
    </row>
    <row r="237" spans="1:14" x14ac:dyDescent="0.3">
      <c r="A237" s="5" t="s">
        <v>45</v>
      </c>
      <c r="B237" s="5" t="s">
        <v>46</v>
      </c>
      <c r="C237" s="5" t="s">
        <v>23</v>
      </c>
      <c r="D237" s="6">
        <v>45305</v>
      </c>
      <c r="E237" s="5">
        <v>9.4</v>
      </c>
      <c r="F237" s="5">
        <v>4.9000000000000004</v>
      </c>
      <c r="G237" s="5">
        <v>3.9</v>
      </c>
      <c r="H237" s="5" t="s">
        <v>17</v>
      </c>
      <c r="I237" s="5" t="s">
        <v>18</v>
      </c>
      <c r="J237" s="5" t="s">
        <v>49</v>
      </c>
      <c r="K237" s="5" t="s">
        <v>20</v>
      </c>
      <c r="L237" s="4">
        <v>52.13</v>
      </c>
      <c r="M237" s="5">
        <v>41.49</v>
      </c>
      <c r="N237" s="5">
        <v>4.5</v>
      </c>
    </row>
    <row r="238" spans="1:14" x14ac:dyDescent="0.3">
      <c r="A238" s="2" t="s">
        <v>57</v>
      </c>
      <c r="B238" s="2" t="s">
        <v>58</v>
      </c>
      <c r="C238" s="2" t="s">
        <v>23</v>
      </c>
      <c r="D238" s="3">
        <v>45432</v>
      </c>
      <c r="E238" s="2">
        <v>7.7</v>
      </c>
      <c r="F238" s="2">
        <v>7.6</v>
      </c>
      <c r="G238" s="2">
        <v>0</v>
      </c>
      <c r="H238" s="2" t="s">
        <v>28</v>
      </c>
      <c r="I238" s="2" t="s">
        <v>28</v>
      </c>
      <c r="J238" s="2" t="s">
        <v>19</v>
      </c>
      <c r="K238" s="2" t="s">
        <v>35</v>
      </c>
      <c r="L238" s="7">
        <v>98.7</v>
      </c>
      <c r="M238" s="2">
        <v>0</v>
      </c>
      <c r="N238" s="2">
        <v>0.1</v>
      </c>
    </row>
    <row r="239" spans="1:14" x14ac:dyDescent="0.3">
      <c r="A239" s="5" t="s">
        <v>52</v>
      </c>
      <c r="B239" s="5" t="s">
        <v>53</v>
      </c>
      <c r="C239" s="5" t="s">
        <v>23</v>
      </c>
      <c r="D239" s="6">
        <v>45387</v>
      </c>
      <c r="E239" s="5">
        <v>10.8</v>
      </c>
      <c r="F239" s="5">
        <v>6.5</v>
      </c>
      <c r="G239" s="5">
        <v>3.4</v>
      </c>
      <c r="H239" s="5" t="s">
        <v>56</v>
      </c>
      <c r="I239" s="5" t="s">
        <v>34</v>
      </c>
      <c r="J239" s="5" t="s">
        <v>29</v>
      </c>
      <c r="K239" s="5" t="s">
        <v>20</v>
      </c>
      <c r="L239" s="8">
        <v>60.19</v>
      </c>
      <c r="M239" s="5">
        <v>31.48</v>
      </c>
      <c r="N239" s="5">
        <v>4.3</v>
      </c>
    </row>
    <row r="240" spans="1:14" x14ac:dyDescent="0.3">
      <c r="A240" s="2" t="s">
        <v>26</v>
      </c>
      <c r="B240" s="2" t="s">
        <v>27</v>
      </c>
      <c r="C240" s="2" t="s">
        <v>36</v>
      </c>
      <c r="D240" s="3">
        <v>45422</v>
      </c>
      <c r="E240" s="2">
        <v>8.4</v>
      </c>
      <c r="F240" s="2">
        <v>3.6</v>
      </c>
      <c r="G240" s="2">
        <v>4.8</v>
      </c>
      <c r="H240" s="2" t="s">
        <v>42</v>
      </c>
      <c r="I240" s="2" t="s">
        <v>34</v>
      </c>
      <c r="J240" s="2" t="s">
        <v>40</v>
      </c>
      <c r="K240" s="2" t="s">
        <v>20</v>
      </c>
      <c r="L240" s="4">
        <v>42.86</v>
      </c>
      <c r="M240" s="2">
        <v>57.14</v>
      </c>
      <c r="N240" s="2">
        <v>4.8</v>
      </c>
    </row>
    <row r="241" spans="1:14" x14ac:dyDescent="0.3">
      <c r="A241" s="5" t="s">
        <v>64</v>
      </c>
      <c r="B241" s="5" t="s">
        <v>65</v>
      </c>
      <c r="C241" s="5" t="s">
        <v>36</v>
      </c>
      <c r="D241" s="6">
        <v>45408</v>
      </c>
      <c r="E241" s="5">
        <v>6.9</v>
      </c>
      <c r="F241" s="5">
        <v>6.5</v>
      </c>
      <c r="G241" s="5">
        <v>0.3</v>
      </c>
      <c r="H241" s="5" t="s">
        <v>48</v>
      </c>
      <c r="I241" s="5" t="s">
        <v>34</v>
      </c>
      <c r="J241" s="5" t="s">
        <v>40</v>
      </c>
      <c r="K241" s="5" t="s">
        <v>35</v>
      </c>
      <c r="L241" s="7">
        <v>94.2</v>
      </c>
      <c r="M241" s="5">
        <v>4.3499999999999996</v>
      </c>
      <c r="N241" s="5">
        <v>0.4</v>
      </c>
    </row>
    <row r="242" spans="1:14" x14ac:dyDescent="0.3">
      <c r="A242" s="2" t="s">
        <v>54</v>
      </c>
      <c r="B242" s="2" t="s">
        <v>55</v>
      </c>
      <c r="C242" s="2" t="s">
        <v>36</v>
      </c>
      <c r="D242" s="3">
        <v>45368</v>
      </c>
      <c r="E242" s="2">
        <v>9.6</v>
      </c>
      <c r="F242" s="2">
        <v>6.8</v>
      </c>
      <c r="G242" s="2">
        <v>2.2999999999999998</v>
      </c>
      <c r="H242" s="2" t="s">
        <v>33</v>
      </c>
      <c r="I242" s="2" t="s">
        <v>34</v>
      </c>
      <c r="J242" s="2" t="s">
        <v>38</v>
      </c>
      <c r="K242" s="2" t="s">
        <v>25</v>
      </c>
      <c r="L242" s="8">
        <v>70.83</v>
      </c>
      <c r="M242" s="2">
        <v>23.96</v>
      </c>
      <c r="N242" s="2">
        <v>2.8</v>
      </c>
    </row>
    <row r="243" spans="1:14" x14ac:dyDescent="0.3">
      <c r="A243" s="5" t="s">
        <v>45</v>
      </c>
      <c r="B243" s="5" t="s">
        <v>46</v>
      </c>
      <c r="C243" s="5" t="s">
        <v>32</v>
      </c>
      <c r="D243" s="6">
        <v>45376</v>
      </c>
      <c r="E243" s="5">
        <v>10</v>
      </c>
      <c r="F243" s="5">
        <v>9.9</v>
      </c>
      <c r="G243" s="5">
        <v>0</v>
      </c>
      <c r="H243" s="5" t="s">
        <v>28</v>
      </c>
      <c r="I243" s="5" t="s">
        <v>28</v>
      </c>
      <c r="J243" s="5" t="s">
        <v>50</v>
      </c>
      <c r="K243" s="5" t="s">
        <v>25</v>
      </c>
      <c r="L243" s="7">
        <v>99</v>
      </c>
      <c r="M243" s="5">
        <v>0</v>
      </c>
      <c r="N243" s="5">
        <v>0.1</v>
      </c>
    </row>
    <row r="244" spans="1:14" x14ac:dyDescent="0.3">
      <c r="A244" s="2" t="s">
        <v>59</v>
      </c>
      <c r="B244" s="2" t="s">
        <v>60</v>
      </c>
      <c r="C244" s="2" t="s">
        <v>41</v>
      </c>
      <c r="D244" s="3">
        <v>45440</v>
      </c>
      <c r="E244" s="2">
        <v>9.5</v>
      </c>
      <c r="F244" s="2">
        <v>7.9</v>
      </c>
      <c r="G244" s="2">
        <v>1</v>
      </c>
      <c r="H244" s="2" t="s">
        <v>37</v>
      </c>
      <c r="I244" s="2" t="s">
        <v>34</v>
      </c>
      <c r="J244" s="2" t="s">
        <v>49</v>
      </c>
      <c r="K244" s="2" t="s">
        <v>35</v>
      </c>
      <c r="L244" s="7">
        <v>83.16</v>
      </c>
      <c r="M244" s="2">
        <v>10.53</v>
      </c>
      <c r="N244" s="2">
        <v>1.6</v>
      </c>
    </row>
    <row r="245" spans="1:14" x14ac:dyDescent="0.3">
      <c r="A245" s="5" t="s">
        <v>14</v>
      </c>
      <c r="B245" s="5" t="s">
        <v>15</v>
      </c>
      <c r="C245" s="5" t="s">
        <v>47</v>
      </c>
      <c r="D245" s="6">
        <v>45300</v>
      </c>
      <c r="E245" s="5">
        <v>9.4</v>
      </c>
      <c r="F245" s="5">
        <v>7.7</v>
      </c>
      <c r="G245" s="5">
        <v>1.5</v>
      </c>
      <c r="H245" s="5" t="s">
        <v>33</v>
      </c>
      <c r="I245" s="5" t="s">
        <v>34</v>
      </c>
      <c r="J245" s="5" t="s">
        <v>40</v>
      </c>
      <c r="K245" s="5" t="s">
        <v>25</v>
      </c>
      <c r="L245" s="7">
        <v>81.91</v>
      </c>
      <c r="M245" s="5">
        <v>15.96</v>
      </c>
      <c r="N245" s="5">
        <v>1.7</v>
      </c>
    </row>
    <row r="246" spans="1:14" x14ac:dyDescent="0.3">
      <c r="A246" s="2" t="s">
        <v>43</v>
      </c>
      <c r="B246" s="2" t="s">
        <v>44</v>
      </c>
      <c r="C246" s="2" t="s">
        <v>23</v>
      </c>
      <c r="D246" s="3">
        <v>45468</v>
      </c>
      <c r="E246" s="2">
        <v>7.2</v>
      </c>
      <c r="F246" s="2">
        <v>5</v>
      </c>
      <c r="G246" s="2">
        <v>1.6</v>
      </c>
      <c r="H246" s="2" t="s">
        <v>33</v>
      </c>
      <c r="I246" s="2" t="s">
        <v>34</v>
      </c>
      <c r="J246" s="2" t="s">
        <v>50</v>
      </c>
      <c r="K246" s="2" t="s">
        <v>35</v>
      </c>
      <c r="L246" s="8">
        <v>69.44</v>
      </c>
      <c r="M246" s="2">
        <v>22.22</v>
      </c>
      <c r="N246" s="2">
        <v>2.2000000000000002</v>
      </c>
    </row>
    <row r="247" spans="1:14" x14ac:dyDescent="0.3">
      <c r="A247" s="5" t="s">
        <v>57</v>
      </c>
      <c r="B247" s="5" t="s">
        <v>58</v>
      </c>
      <c r="C247" s="5" t="s">
        <v>47</v>
      </c>
      <c r="D247" s="6">
        <v>45435</v>
      </c>
      <c r="E247" s="5">
        <v>8</v>
      </c>
      <c r="F247" s="5">
        <v>6.4</v>
      </c>
      <c r="G247" s="5">
        <v>1.1000000000000001</v>
      </c>
      <c r="H247" s="5" t="s">
        <v>61</v>
      </c>
      <c r="I247" s="5" t="s">
        <v>34</v>
      </c>
      <c r="J247" s="5" t="s">
        <v>29</v>
      </c>
      <c r="K247" s="5" t="s">
        <v>25</v>
      </c>
      <c r="L247" s="7">
        <v>80</v>
      </c>
      <c r="M247" s="5">
        <v>13.75</v>
      </c>
      <c r="N247" s="5">
        <v>1.6</v>
      </c>
    </row>
    <row r="248" spans="1:14" x14ac:dyDescent="0.3">
      <c r="A248" s="2" t="s">
        <v>57</v>
      </c>
      <c r="B248" s="2" t="s">
        <v>58</v>
      </c>
      <c r="C248" s="2" t="s">
        <v>32</v>
      </c>
      <c r="D248" s="3">
        <v>45431</v>
      </c>
      <c r="E248" s="2">
        <v>8.1</v>
      </c>
      <c r="F248" s="2">
        <v>7</v>
      </c>
      <c r="G248" s="2">
        <v>0.4</v>
      </c>
      <c r="H248" s="2" t="s">
        <v>42</v>
      </c>
      <c r="I248" s="2" t="s">
        <v>34</v>
      </c>
      <c r="J248" s="2" t="s">
        <v>38</v>
      </c>
      <c r="K248" s="2" t="s">
        <v>25</v>
      </c>
      <c r="L248" s="7">
        <v>86.42</v>
      </c>
      <c r="M248" s="2">
        <v>4.9400000000000004</v>
      </c>
      <c r="N248" s="2">
        <v>1.1000000000000001</v>
      </c>
    </row>
    <row r="249" spans="1:14" x14ac:dyDescent="0.3">
      <c r="A249" s="5" t="s">
        <v>26</v>
      </c>
      <c r="B249" s="5" t="s">
        <v>27</v>
      </c>
      <c r="C249" s="5" t="s">
        <v>47</v>
      </c>
      <c r="D249" s="6">
        <v>45363</v>
      </c>
      <c r="E249" s="5">
        <v>9.3000000000000007</v>
      </c>
      <c r="F249" s="5">
        <v>5</v>
      </c>
      <c r="G249" s="5">
        <v>3.3</v>
      </c>
      <c r="H249" s="5" t="s">
        <v>61</v>
      </c>
      <c r="I249" s="5" t="s">
        <v>34</v>
      </c>
      <c r="J249" s="5" t="s">
        <v>38</v>
      </c>
      <c r="K249" s="5" t="s">
        <v>20</v>
      </c>
      <c r="L249" s="4">
        <v>53.76</v>
      </c>
      <c r="M249" s="5">
        <v>35.479999999999997</v>
      </c>
      <c r="N249" s="5">
        <v>4.3</v>
      </c>
    </row>
    <row r="250" spans="1:14" x14ac:dyDescent="0.3">
      <c r="A250" s="2" t="s">
        <v>62</v>
      </c>
      <c r="B250" s="2" t="s">
        <v>63</v>
      </c>
      <c r="C250" s="2" t="s">
        <v>47</v>
      </c>
      <c r="D250" s="3">
        <v>45468</v>
      </c>
      <c r="E250" s="2">
        <v>10.199999999999999</v>
      </c>
      <c r="F250" s="2">
        <v>6</v>
      </c>
      <c r="G250" s="2">
        <v>3.9</v>
      </c>
      <c r="H250" s="2" t="s">
        <v>56</v>
      </c>
      <c r="I250" s="2" t="s">
        <v>34</v>
      </c>
      <c r="J250" s="2" t="s">
        <v>38</v>
      </c>
      <c r="K250" s="2" t="s">
        <v>20</v>
      </c>
      <c r="L250" s="4">
        <v>58.82</v>
      </c>
      <c r="M250" s="2">
        <v>38.24</v>
      </c>
      <c r="N250" s="2">
        <v>4.2</v>
      </c>
    </row>
    <row r="251" spans="1:14" x14ac:dyDescent="0.3">
      <c r="A251" s="5" t="s">
        <v>59</v>
      </c>
      <c r="B251" s="5" t="s">
        <v>60</v>
      </c>
      <c r="C251" s="5" t="s">
        <v>16</v>
      </c>
      <c r="D251" s="6">
        <v>45438</v>
      </c>
      <c r="E251" s="5">
        <v>10.1</v>
      </c>
      <c r="F251" s="5">
        <v>6.3</v>
      </c>
      <c r="G251" s="5">
        <v>2.8</v>
      </c>
      <c r="H251" s="5" t="s">
        <v>56</v>
      </c>
      <c r="I251" s="5" t="s">
        <v>34</v>
      </c>
      <c r="J251" s="5" t="s">
        <v>40</v>
      </c>
      <c r="K251" s="5" t="s">
        <v>35</v>
      </c>
      <c r="L251" s="8">
        <v>62.38</v>
      </c>
      <c r="M251" s="5">
        <v>27.72</v>
      </c>
      <c r="N251" s="5">
        <v>3.8</v>
      </c>
    </row>
    <row r="252" spans="1:14" x14ac:dyDescent="0.3">
      <c r="A252" s="2" t="s">
        <v>59</v>
      </c>
      <c r="B252" s="2" t="s">
        <v>60</v>
      </c>
      <c r="C252" s="2" t="s">
        <v>16</v>
      </c>
      <c r="D252" s="3">
        <v>45365</v>
      </c>
      <c r="E252" s="2">
        <v>11.7</v>
      </c>
      <c r="F252" s="2">
        <v>5.2</v>
      </c>
      <c r="G252" s="2">
        <v>5.6</v>
      </c>
      <c r="H252" s="2" t="s">
        <v>42</v>
      </c>
      <c r="I252" s="2" t="s">
        <v>34</v>
      </c>
      <c r="J252" s="2" t="s">
        <v>38</v>
      </c>
      <c r="K252" s="2" t="s">
        <v>20</v>
      </c>
      <c r="L252" s="4">
        <v>44.44</v>
      </c>
      <c r="M252" s="2">
        <v>47.86</v>
      </c>
      <c r="N252" s="2">
        <v>6.5</v>
      </c>
    </row>
    <row r="253" spans="1:14" x14ac:dyDescent="0.3">
      <c r="A253" s="5" t="s">
        <v>62</v>
      </c>
      <c r="B253" s="5" t="s">
        <v>63</v>
      </c>
      <c r="C253" s="5" t="s">
        <v>23</v>
      </c>
      <c r="D253" s="6">
        <v>45346</v>
      </c>
      <c r="E253" s="5">
        <v>7.2</v>
      </c>
      <c r="F253" s="5">
        <v>5.2</v>
      </c>
      <c r="G253" s="5">
        <v>1.1000000000000001</v>
      </c>
      <c r="H253" s="5" t="s">
        <v>42</v>
      </c>
      <c r="I253" s="5" t="s">
        <v>34</v>
      </c>
      <c r="J253" s="5" t="s">
        <v>38</v>
      </c>
      <c r="K253" s="5" t="s">
        <v>35</v>
      </c>
      <c r="L253" s="8">
        <v>72.22</v>
      </c>
      <c r="M253" s="5">
        <v>15.28</v>
      </c>
      <c r="N253" s="5">
        <v>2</v>
      </c>
    </row>
    <row r="254" spans="1:14" x14ac:dyDescent="0.3">
      <c r="A254" s="2" t="s">
        <v>52</v>
      </c>
      <c r="B254" s="2" t="s">
        <v>53</v>
      </c>
      <c r="C254" s="2" t="s">
        <v>36</v>
      </c>
      <c r="D254" s="3">
        <v>45442</v>
      </c>
      <c r="E254" s="2">
        <v>7.4</v>
      </c>
      <c r="F254" s="2">
        <v>3.2</v>
      </c>
      <c r="G254" s="2">
        <v>3.3</v>
      </c>
      <c r="H254" s="2" t="s">
        <v>37</v>
      </c>
      <c r="I254" s="2" t="s">
        <v>34</v>
      </c>
      <c r="J254" s="2" t="s">
        <v>24</v>
      </c>
      <c r="K254" s="2" t="s">
        <v>20</v>
      </c>
      <c r="L254" s="4">
        <v>43.24</v>
      </c>
      <c r="M254" s="2">
        <v>44.59</v>
      </c>
      <c r="N254" s="2">
        <v>4.2</v>
      </c>
    </row>
    <row r="255" spans="1:14" x14ac:dyDescent="0.3">
      <c r="A255" s="5" t="s">
        <v>45</v>
      </c>
      <c r="B255" s="5" t="s">
        <v>46</v>
      </c>
      <c r="C255" s="5" t="s">
        <v>16</v>
      </c>
      <c r="D255" s="6">
        <v>45397</v>
      </c>
      <c r="E255" s="5">
        <v>8</v>
      </c>
      <c r="F255" s="5">
        <v>5.5</v>
      </c>
      <c r="G255" s="5">
        <v>1.8</v>
      </c>
      <c r="H255" s="5" t="s">
        <v>37</v>
      </c>
      <c r="I255" s="5" t="s">
        <v>34</v>
      </c>
      <c r="J255" s="5" t="s">
        <v>50</v>
      </c>
      <c r="K255" s="5" t="s">
        <v>35</v>
      </c>
      <c r="L255" s="8">
        <v>68.75</v>
      </c>
      <c r="M255" s="5">
        <v>22.5</v>
      </c>
      <c r="N255" s="5">
        <v>2.5</v>
      </c>
    </row>
    <row r="256" spans="1:14" x14ac:dyDescent="0.3">
      <c r="A256" s="2" t="s">
        <v>54</v>
      </c>
      <c r="B256" s="2" t="s">
        <v>55</v>
      </c>
      <c r="C256" s="2" t="s">
        <v>41</v>
      </c>
      <c r="D256" s="3">
        <v>45413</v>
      </c>
      <c r="E256" s="2">
        <v>8.9</v>
      </c>
      <c r="F256" s="2">
        <v>4.5999999999999996</v>
      </c>
      <c r="G256" s="2">
        <v>3.3</v>
      </c>
      <c r="H256" s="2" t="s">
        <v>61</v>
      </c>
      <c r="I256" s="2" t="s">
        <v>34</v>
      </c>
      <c r="J256" s="2" t="s">
        <v>38</v>
      </c>
      <c r="K256" s="2" t="s">
        <v>20</v>
      </c>
      <c r="L256" s="4">
        <v>51.69</v>
      </c>
      <c r="M256" s="2">
        <v>37.08</v>
      </c>
      <c r="N256" s="2">
        <v>4.3</v>
      </c>
    </row>
    <row r="257" spans="1:14" x14ac:dyDescent="0.3">
      <c r="A257" s="5" t="s">
        <v>14</v>
      </c>
      <c r="B257" s="5" t="s">
        <v>15</v>
      </c>
      <c r="C257" s="5" t="s">
        <v>16</v>
      </c>
      <c r="D257" s="6">
        <v>45314</v>
      </c>
      <c r="E257" s="5">
        <v>9.9</v>
      </c>
      <c r="F257" s="5">
        <v>5.3</v>
      </c>
      <c r="G257" s="5">
        <v>3.9</v>
      </c>
      <c r="H257" s="5" t="s">
        <v>56</v>
      </c>
      <c r="I257" s="5" t="s">
        <v>34</v>
      </c>
      <c r="J257" s="5" t="s">
        <v>50</v>
      </c>
      <c r="K257" s="5" t="s">
        <v>20</v>
      </c>
      <c r="L257" s="4">
        <v>53.54</v>
      </c>
      <c r="M257" s="5">
        <v>39.39</v>
      </c>
      <c r="N257" s="5">
        <v>4.5999999999999996</v>
      </c>
    </row>
    <row r="258" spans="1:14" x14ac:dyDescent="0.3">
      <c r="A258" s="2" t="s">
        <v>43</v>
      </c>
      <c r="B258" s="2" t="s">
        <v>44</v>
      </c>
      <c r="C258" s="2" t="s">
        <v>23</v>
      </c>
      <c r="D258" s="3">
        <v>45337</v>
      </c>
      <c r="E258" s="2">
        <v>11.6</v>
      </c>
      <c r="F258" s="2">
        <v>4.9000000000000004</v>
      </c>
      <c r="G258" s="2">
        <v>5.9</v>
      </c>
      <c r="H258" s="2" t="s">
        <v>56</v>
      </c>
      <c r="I258" s="2" t="s">
        <v>34</v>
      </c>
      <c r="J258" s="2" t="s">
        <v>51</v>
      </c>
      <c r="K258" s="2" t="s">
        <v>20</v>
      </c>
      <c r="L258" s="4">
        <v>42.24</v>
      </c>
      <c r="M258" s="2">
        <v>50.86</v>
      </c>
      <c r="N258" s="2">
        <v>6.7</v>
      </c>
    </row>
    <row r="259" spans="1:14" x14ac:dyDescent="0.3">
      <c r="A259" s="5" t="s">
        <v>43</v>
      </c>
      <c r="B259" s="5" t="s">
        <v>44</v>
      </c>
      <c r="C259" s="5" t="s">
        <v>41</v>
      </c>
      <c r="D259" s="6">
        <v>45366</v>
      </c>
      <c r="E259" s="5">
        <v>11.3</v>
      </c>
      <c r="F259" s="5">
        <v>4.5999999999999996</v>
      </c>
      <c r="G259" s="5">
        <v>6.1</v>
      </c>
      <c r="H259" s="5" t="s">
        <v>17</v>
      </c>
      <c r="I259" s="5" t="s">
        <v>18</v>
      </c>
      <c r="J259" s="5" t="s">
        <v>40</v>
      </c>
      <c r="K259" s="5" t="s">
        <v>20</v>
      </c>
      <c r="L259" s="4">
        <v>40.71</v>
      </c>
      <c r="M259" s="5">
        <v>53.98</v>
      </c>
      <c r="N259" s="5">
        <v>6.7</v>
      </c>
    </row>
    <row r="260" spans="1:14" x14ac:dyDescent="0.3">
      <c r="A260" s="2" t="s">
        <v>59</v>
      </c>
      <c r="B260" s="2" t="s">
        <v>60</v>
      </c>
      <c r="C260" s="2" t="s">
        <v>23</v>
      </c>
      <c r="D260" s="3">
        <v>45456</v>
      </c>
      <c r="E260" s="2">
        <v>9.3000000000000007</v>
      </c>
      <c r="F260" s="2">
        <v>6.5</v>
      </c>
      <c r="G260" s="2">
        <v>1.9</v>
      </c>
      <c r="H260" s="2" t="s">
        <v>56</v>
      </c>
      <c r="I260" s="2" t="s">
        <v>34</v>
      </c>
      <c r="J260" s="2" t="s">
        <v>51</v>
      </c>
      <c r="K260" s="2" t="s">
        <v>35</v>
      </c>
      <c r="L260" s="8">
        <v>69.89</v>
      </c>
      <c r="M260" s="2">
        <v>20.43</v>
      </c>
      <c r="N260" s="2">
        <v>2.8</v>
      </c>
    </row>
    <row r="261" spans="1:14" x14ac:dyDescent="0.3">
      <c r="A261" s="5" t="s">
        <v>26</v>
      </c>
      <c r="B261" s="5" t="s">
        <v>27</v>
      </c>
      <c r="C261" s="5" t="s">
        <v>39</v>
      </c>
      <c r="D261" s="6">
        <v>45320</v>
      </c>
      <c r="E261" s="5">
        <v>8</v>
      </c>
      <c r="F261" s="5">
        <v>6.7</v>
      </c>
      <c r="G261" s="5">
        <v>0.7</v>
      </c>
      <c r="H261" s="5" t="s">
        <v>42</v>
      </c>
      <c r="I261" s="5" t="s">
        <v>34</v>
      </c>
      <c r="J261" s="5" t="s">
        <v>29</v>
      </c>
      <c r="K261" s="5" t="s">
        <v>35</v>
      </c>
      <c r="L261" s="7">
        <v>83.75</v>
      </c>
      <c r="M261" s="5">
        <v>8.75</v>
      </c>
      <c r="N261" s="5">
        <v>1.3</v>
      </c>
    </row>
    <row r="262" spans="1:14" x14ac:dyDescent="0.3">
      <c r="A262" s="2" t="s">
        <v>62</v>
      </c>
      <c r="B262" s="2" t="s">
        <v>63</v>
      </c>
      <c r="C262" s="2" t="s">
        <v>32</v>
      </c>
      <c r="D262" s="3">
        <v>45367</v>
      </c>
      <c r="E262" s="2">
        <v>9.4</v>
      </c>
      <c r="F262" s="2">
        <v>8</v>
      </c>
      <c r="G262" s="2">
        <v>1.2</v>
      </c>
      <c r="H262" s="2" t="s">
        <v>56</v>
      </c>
      <c r="I262" s="2" t="s">
        <v>34</v>
      </c>
      <c r="J262" s="2" t="s">
        <v>49</v>
      </c>
      <c r="K262" s="2" t="s">
        <v>25</v>
      </c>
      <c r="L262" s="7">
        <v>85.11</v>
      </c>
      <c r="M262" s="2">
        <v>12.77</v>
      </c>
      <c r="N262" s="2">
        <v>1.4</v>
      </c>
    </row>
    <row r="263" spans="1:14" x14ac:dyDescent="0.3">
      <c r="A263" s="5" t="s">
        <v>57</v>
      </c>
      <c r="B263" s="5" t="s">
        <v>58</v>
      </c>
      <c r="C263" s="5" t="s">
        <v>32</v>
      </c>
      <c r="D263" s="6">
        <v>45314</v>
      </c>
      <c r="E263" s="5">
        <v>8.4</v>
      </c>
      <c r="F263" s="5">
        <v>3.8</v>
      </c>
      <c r="G263" s="5">
        <v>3.6</v>
      </c>
      <c r="H263" s="5" t="s">
        <v>33</v>
      </c>
      <c r="I263" s="5" t="s">
        <v>34</v>
      </c>
      <c r="J263" s="5" t="s">
        <v>40</v>
      </c>
      <c r="K263" s="5" t="s">
        <v>20</v>
      </c>
      <c r="L263" s="4">
        <v>45.24</v>
      </c>
      <c r="M263" s="5">
        <v>42.86</v>
      </c>
      <c r="N263" s="5">
        <v>4.5999999999999996</v>
      </c>
    </row>
    <row r="264" spans="1:14" x14ac:dyDescent="0.3">
      <c r="A264" s="2" t="s">
        <v>26</v>
      </c>
      <c r="B264" s="2" t="s">
        <v>27</v>
      </c>
      <c r="C264" s="2" t="s">
        <v>16</v>
      </c>
      <c r="D264" s="3">
        <v>45358</v>
      </c>
      <c r="E264" s="2">
        <v>8.3000000000000007</v>
      </c>
      <c r="F264" s="2">
        <v>5.5</v>
      </c>
      <c r="G264" s="2">
        <v>2.5</v>
      </c>
      <c r="H264" s="2" t="s">
        <v>61</v>
      </c>
      <c r="I264" s="2" t="s">
        <v>34</v>
      </c>
      <c r="J264" s="2" t="s">
        <v>38</v>
      </c>
      <c r="K264" s="2" t="s">
        <v>35</v>
      </c>
      <c r="L264" s="8">
        <v>66.27</v>
      </c>
      <c r="M264" s="2">
        <v>30.12</v>
      </c>
      <c r="N264" s="2">
        <v>2.8</v>
      </c>
    </row>
    <row r="265" spans="1:14" x14ac:dyDescent="0.3">
      <c r="A265" s="5" t="s">
        <v>59</v>
      </c>
      <c r="B265" s="5" t="s">
        <v>60</v>
      </c>
      <c r="C265" s="5" t="s">
        <v>41</v>
      </c>
      <c r="D265" s="6">
        <v>45384</v>
      </c>
      <c r="E265" s="5">
        <v>10.199999999999999</v>
      </c>
      <c r="F265" s="5">
        <v>4.5</v>
      </c>
      <c r="G265" s="5">
        <v>5.6</v>
      </c>
      <c r="H265" s="5" t="s">
        <v>61</v>
      </c>
      <c r="I265" s="5" t="s">
        <v>34</v>
      </c>
      <c r="J265" s="5" t="s">
        <v>29</v>
      </c>
      <c r="K265" s="5" t="s">
        <v>20</v>
      </c>
      <c r="L265" s="4">
        <v>44.12</v>
      </c>
      <c r="M265" s="5">
        <v>54.9</v>
      </c>
      <c r="N265" s="5">
        <v>5.7</v>
      </c>
    </row>
    <row r="266" spans="1:14" x14ac:dyDescent="0.3">
      <c r="A266" s="2" t="s">
        <v>54</v>
      </c>
      <c r="B266" s="2" t="s">
        <v>55</v>
      </c>
      <c r="C266" s="2" t="s">
        <v>41</v>
      </c>
      <c r="D266" s="3">
        <v>45420</v>
      </c>
      <c r="E266" s="2">
        <v>11.5</v>
      </c>
      <c r="F266" s="2">
        <v>10.7</v>
      </c>
      <c r="G266" s="2">
        <v>0</v>
      </c>
      <c r="H266" s="2" t="s">
        <v>28</v>
      </c>
      <c r="I266" s="2" t="s">
        <v>28</v>
      </c>
      <c r="J266" s="2" t="s">
        <v>19</v>
      </c>
      <c r="K266" s="2" t="s">
        <v>35</v>
      </c>
      <c r="L266" s="7">
        <v>93.04</v>
      </c>
      <c r="M266" s="2">
        <v>0</v>
      </c>
      <c r="N266" s="2">
        <v>0.8</v>
      </c>
    </row>
    <row r="267" spans="1:14" x14ac:dyDescent="0.3">
      <c r="A267" s="5" t="s">
        <v>30</v>
      </c>
      <c r="B267" s="5" t="s">
        <v>31</v>
      </c>
      <c r="C267" s="5" t="s">
        <v>36</v>
      </c>
      <c r="D267" s="6">
        <v>45348</v>
      </c>
      <c r="E267" s="5">
        <v>7.3</v>
      </c>
      <c r="F267" s="5">
        <v>3.5</v>
      </c>
      <c r="G267" s="5">
        <v>3.6</v>
      </c>
      <c r="H267" s="5" t="s">
        <v>42</v>
      </c>
      <c r="I267" s="5" t="s">
        <v>34</v>
      </c>
      <c r="J267" s="5" t="s">
        <v>40</v>
      </c>
      <c r="K267" s="5" t="s">
        <v>20</v>
      </c>
      <c r="L267" s="4">
        <v>47.95</v>
      </c>
      <c r="M267" s="5">
        <v>49.32</v>
      </c>
      <c r="N267" s="5">
        <v>3.8</v>
      </c>
    </row>
    <row r="268" spans="1:14" x14ac:dyDescent="0.3">
      <c r="A268" s="2" t="s">
        <v>54</v>
      </c>
      <c r="B268" s="2" t="s">
        <v>55</v>
      </c>
      <c r="C268" s="2" t="s">
        <v>41</v>
      </c>
      <c r="D268" s="3">
        <v>45432</v>
      </c>
      <c r="E268" s="2">
        <v>11.5</v>
      </c>
      <c r="F268" s="2">
        <v>9.8000000000000007</v>
      </c>
      <c r="G268" s="2">
        <v>0.9</v>
      </c>
      <c r="H268" s="2" t="s">
        <v>56</v>
      </c>
      <c r="I268" s="2" t="s">
        <v>34</v>
      </c>
      <c r="J268" s="2" t="s">
        <v>24</v>
      </c>
      <c r="K268" s="2" t="s">
        <v>35</v>
      </c>
      <c r="L268" s="7">
        <v>85.22</v>
      </c>
      <c r="M268" s="2">
        <v>7.83</v>
      </c>
      <c r="N268" s="2">
        <v>1.7</v>
      </c>
    </row>
    <row r="269" spans="1:14" x14ac:dyDescent="0.3">
      <c r="A269" s="5" t="s">
        <v>14</v>
      </c>
      <c r="B269" s="5" t="s">
        <v>15</v>
      </c>
      <c r="C269" s="5" t="s">
        <v>39</v>
      </c>
      <c r="D269" s="6">
        <v>45444</v>
      </c>
      <c r="E269" s="5">
        <v>11.2</v>
      </c>
      <c r="F269" s="5">
        <v>5</v>
      </c>
      <c r="G269" s="5">
        <v>5.8</v>
      </c>
      <c r="H269" s="5" t="s">
        <v>42</v>
      </c>
      <c r="I269" s="5" t="s">
        <v>34</v>
      </c>
      <c r="J269" s="5" t="s">
        <v>40</v>
      </c>
      <c r="K269" s="5" t="s">
        <v>20</v>
      </c>
      <c r="L269" s="4">
        <v>44.64</v>
      </c>
      <c r="M269" s="5">
        <v>51.79</v>
      </c>
      <c r="N269" s="5">
        <v>6.2</v>
      </c>
    </row>
    <row r="270" spans="1:14" x14ac:dyDescent="0.3">
      <c r="A270" s="2" t="s">
        <v>52</v>
      </c>
      <c r="B270" s="2" t="s">
        <v>53</v>
      </c>
      <c r="C270" s="2" t="s">
        <v>36</v>
      </c>
      <c r="D270" s="3">
        <v>45320</v>
      </c>
      <c r="E270" s="2">
        <v>6.4</v>
      </c>
      <c r="F270" s="2">
        <v>4.7</v>
      </c>
      <c r="G270" s="2">
        <v>1.2</v>
      </c>
      <c r="H270" s="2" t="s">
        <v>48</v>
      </c>
      <c r="I270" s="2" t="s">
        <v>34</v>
      </c>
      <c r="J270" s="2" t="s">
        <v>29</v>
      </c>
      <c r="K270" s="2" t="s">
        <v>35</v>
      </c>
      <c r="L270" s="8">
        <v>73.44</v>
      </c>
      <c r="M270" s="2">
        <v>18.75</v>
      </c>
      <c r="N270" s="2">
        <v>1.7</v>
      </c>
    </row>
    <row r="271" spans="1:14" x14ac:dyDescent="0.3">
      <c r="A271" s="5" t="s">
        <v>30</v>
      </c>
      <c r="B271" s="5" t="s">
        <v>31</v>
      </c>
      <c r="C271" s="5" t="s">
        <v>39</v>
      </c>
      <c r="D271" s="6">
        <v>45425</v>
      </c>
      <c r="E271" s="5">
        <v>8.6999999999999993</v>
      </c>
      <c r="F271" s="5">
        <v>7</v>
      </c>
      <c r="G271" s="5">
        <v>1</v>
      </c>
      <c r="H271" s="5" t="s">
        <v>33</v>
      </c>
      <c r="I271" s="5" t="s">
        <v>34</v>
      </c>
      <c r="J271" s="5" t="s">
        <v>19</v>
      </c>
      <c r="K271" s="5" t="s">
        <v>25</v>
      </c>
      <c r="L271" s="7">
        <v>80.459999999999994</v>
      </c>
      <c r="M271" s="5">
        <v>11.49</v>
      </c>
      <c r="N271" s="5">
        <v>1.7</v>
      </c>
    </row>
    <row r="272" spans="1:14" x14ac:dyDescent="0.3">
      <c r="A272" s="2" t="s">
        <v>45</v>
      </c>
      <c r="B272" s="2" t="s">
        <v>46</v>
      </c>
      <c r="C272" s="2" t="s">
        <v>23</v>
      </c>
      <c r="D272" s="3">
        <v>45325</v>
      </c>
      <c r="E272" s="2">
        <v>9.1</v>
      </c>
      <c r="F272" s="2">
        <v>6.1</v>
      </c>
      <c r="G272" s="2">
        <v>2.9</v>
      </c>
      <c r="H272" s="2" t="s">
        <v>33</v>
      </c>
      <c r="I272" s="2" t="s">
        <v>34</v>
      </c>
      <c r="J272" s="2" t="s">
        <v>38</v>
      </c>
      <c r="K272" s="2" t="s">
        <v>35</v>
      </c>
      <c r="L272" s="8">
        <v>67.03</v>
      </c>
      <c r="M272" s="2">
        <v>31.87</v>
      </c>
      <c r="N272" s="2">
        <v>3</v>
      </c>
    </row>
    <row r="273" spans="1:14" x14ac:dyDescent="0.3">
      <c r="A273" s="5" t="s">
        <v>54</v>
      </c>
      <c r="B273" s="5" t="s">
        <v>55</v>
      </c>
      <c r="C273" s="5" t="s">
        <v>32</v>
      </c>
      <c r="D273" s="6">
        <v>45292</v>
      </c>
      <c r="E273" s="5">
        <v>10.5</v>
      </c>
      <c r="F273" s="5">
        <v>7.8</v>
      </c>
      <c r="G273" s="5">
        <v>2.7</v>
      </c>
      <c r="H273" s="5" t="s">
        <v>61</v>
      </c>
      <c r="I273" s="5" t="s">
        <v>34</v>
      </c>
      <c r="J273" s="5" t="s">
        <v>19</v>
      </c>
      <c r="K273" s="5" t="s">
        <v>35</v>
      </c>
      <c r="L273" s="8">
        <v>74.290000000000006</v>
      </c>
      <c r="M273" s="5">
        <v>25.71</v>
      </c>
      <c r="N273" s="5">
        <v>2.7</v>
      </c>
    </row>
    <row r="274" spans="1:14" x14ac:dyDescent="0.3">
      <c r="A274" s="2" t="s">
        <v>52</v>
      </c>
      <c r="B274" s="2" t="s">
        <v>53</v>
      </c>
      <c r="C274" s="2" t="s">
        <v>23</v>
      </c>
      <c r="D274" s="3">
        <v>45300</v>
      </c>
      <c r="E274" s="2">
        <v>7.7</v>
      </c>
      <c r="F274" s="2">
        <v>3.9</v>
      </c>
      <c r="G274" s="2">
        <v>3.7</v>
      </c>
      <c r="H274" s="2" t="s">
        <v>42</v>
      </c>
      <c r="I274" s="2" t="s">
        <v>34</v>
      </c>
      <c r="J274" s="2" t="s">
        <v>49</v>
      </c>
      <c r="K274" s="2" t="s">
        <v>20</v>
      </c>
      <c r="L274" s="4">
        <v>50.65</v>
      </c>
      <c r="M274" s="2">
        <v>48.05</v>
      </c>
      <c r="N274" s="2">
        <v>3.8</v>
      </c>
    </row>
    <row r="275" spans="1:14" x14ac:dyDescent="0.3">
      <c r="A275" s="5" t="s">
        <v>30</v>
      </c>
      <c r="B275" s="5" t="s">
        <v>31</v>
      </c>
      <c r="C275" s="5" t="s">
        <v>23</v>
      </c>
      <c r="D275" s="6">
        <v>45406</v>
      </c>
      <c r="E275" s="5">
        <v>11.2</v>
      </c>
      <c r="F275" s="5">
        <v>10.6</v>
      </c>
      <c r="G275" s="5">
        <v>0.2</v>
      </c>
      <c r="H275" s="5" t="s">
        <v>42</v>
      </c>
      <c r="I275" s="5" t="s">
        <v>34</v>
      </c>
      <c r="J275" s="5" t="s">
        <v>29</v>
      </c>
      <c r="K275" s="5" t="s">
        <v>35</v>
      </c>
      <c r="L275" s="7">
        <v>94.64</v>
      </c>
      <c r="M275" s="5">
        <v>1.79</v>
      </c>
      <c r="N275" s="5">
        <v>0.6</v>
      </c>
    </row>
    <row r="276" spans="1:14" x14ac:dyDescent="0.3">
      <c r="A276" s="2" t="s">
        <v>52</v>
      </c>
      <c r="B276" s="2" t="s">
        <v>53</v>
      </c>
      <c r="C276" s="2" t="s">
        <v>47</v>
      </c>
      <c r="D276" s="3">
        <v>45429</v>
      </c>
      <c r="E276" s="2">
        <v>8.4</v>
      </c>
      <c r="F276" s="2">
        <v>4</v>
      </c>
      <c r="G276" s="2">
        <v>3.4</v>
      </c>
      <c r="H276" s="2" t="s">
        <v>56</v>
      </c>
      <c r="I276" s="2" t="s">
        <v>34</v>
      </c>
      <c r="J276" s="2" t="s">
        <v>50</v>
      </c>
      <c r="K276" s="2" t="s">
        <v>20</v>
      </c>
      <c r="L276" s="4">
        <v>47.62</v>
      </c>
      <c r="M276" s="2">
        <v>40.479999999999997</v>
      </c>
      <c r="N276" s="2">
        <v>4.4000000000000004</v>
      </c>
    </row>
    <row r="277" spans="1:14" x14ac:dyDescent="0.3">
      <c r="A277" s="5" t="s">
        <v>45</v>
      </c>
      <c r="B277" s="5" t="s">
        <v>46</v>
      </c>
      <c r="C277" s="5" t="s">
        <v>32</v>
      </c>
      <c r="D277" s="6">
        <v>45410</v>
      </c>
      <c r="E277" s="5">
        <v>10</v>
      </c>
      <c r="F277" s="5">
        <v>7.3</v>
      </c>
      <c r="G277" s="5">
        <v>2.2000000000000002</v>
      </c>
      <c r="H277" s="5" t="s">
        <v>56</v>
      </c>
      <c r="I277" s="5" t="s">
        <v>34</v>
      </c>
      <c r="J277" s="5" t="s">
        <v>24</v>
      </c>
      <c r="K277" s="5" t="s">
        <v>35</v>
      </c>
      <c r="L277" s="8">
        <v>73</v>
      </c>
      <c r="M277" s="5">
        <v>22</v>
      </c>
      <c r="N277" s="5">
        <v>2.7</v>
      </c>
    </row>
    <row r="278" spans="1:14" x14ac:dyDescent="0.3">
      <c r="A278" s="2" t="s">
        <v>64</v>
      </c>
      <c r="B278" s="2" t="s">
        <v>65</v>
      </c>
      <c r="C278" s="2" t="s">
        <v>32</v>
      </c>
      <c r="D278" s="3">
        <v>45331</v>
      </c>
      <c r="E278" s="2">
        <v>7.7</v>
      </c>
      <c r="F278" s="2">
        <v>7.4</v>
      </c>
      <c r="G278" s="2">
        <v>0</v>
      </c>
      <c r="H278" s="2" t="s">
        <v>28</v>
      </c>
      <c r="I278" s="2" t="s">
        <v>28</v>
      </c>
      <c r="J278" s="2" t="s">
        <v>19</v>
      </c>
      <c r="K278" s="2" t="s">
        <v>35</v>
      </c>
      <c r="L278" s="7">
        <v>96.1</v>
      </c>
      <c r="M278" s="2">
        <v>0</v>
      </c>
      <c r="N278" s="2">
        <v>0.3</v>
      </c>
    </row>
    <row r="279" spans="1:14" x14ac:dyDescent="0.3">
      <c r="A279" s="5" t="s">
        <v>14</v>
      </c>
      <c r="B279" s="5" t="s">
        <v>15</v>
      </c>
      <c r="C279" s="5" t="s">
        <v>23</v>
      </c>
      <c r="D279" s="6">
        <v>45449</v>
      </c>
      <c r="E279" s="5">
        <v>10.6</v>
      </c>
      <c r="F279" s="5">
        <v>9.9</v>
      </c>
      <c r="G279" s="5">
        <v>0.7</v>
      </c>
      <c r="H279" s="5" t="s">
        <v>37</v>
      </c>
      <c r="I279" s="5" t="s">
        <v>34</v>
      </c>
      <c r="J279" s="5" t="s">
        <v>19</v>
      </c>
      <c r="K279" s="5" t="s">
        <v>35</v>
      </c>
      <c r="L279" s="7">
        <v>93.4</v>
      </c>
      <c r="M279" s="5">
        <v>6.6</v>
      </c>
      <c r="N279" s="5">
        <v>0.7</v>
      </c>
    </row>
    <row r="280" spans="1:14" x14ac:dyDescent="0.3">
      <c r="A280" s="2" t="s">
        <v>21</v>
      </c>
      <c r="B280" s="2" t="s">
        <v>22</v>
      </c>
      <c r="C280" s="2" t="s">
        <v>16</v>
      </c>
      <c r="D280" s="3">
        <v>45406</v>
      </c>
      <c r="E280" s="2">
        <v>9.6</v>
      </c>
      <c r="F280" s="2">
        <v>7.9</v>
      </c>
      <c r="G280" s="2">
        <v>1.7</v>
      </c>
      <c r="H280" s="2" t="s">
        <v>42</v>
      </c>
      <c r="I280" s="2" t="s">
        <v>34</v>
      </c>
      <c r="J280" s="2" t="s">
        <v>50</v>
      </c>
      <c r="K280" s="2" t="s">
        <v>25</v>
      </c>
      <c r="L280" s="7">
        <v>82.29</v>
      </c>
      <c r="M280" s="2">
        <v>17.71</v>
      </c>
      <c r="N280" s="2">
        <v>1.7</v>
      </c>
    </row>
    <row r="281" spans="1:14" x14ac:dyDescent="0.3">
      <c r="A281" s="5" t="s">
        <v>64</v>
      </c>
      <c r="B281" s="5" t="s">
        <v>65</v>
      </c>
      <c r="C281" s="5" t="s">
        <v>47</v>
      </c>
      <c r="D281" s="6">
        <v>45430</v>
      </c>
      <c r="E281" s="5">
        <v>7.3</v>
      </c>
      <c r="F281" s="5">
        <v>6.7</v>
      </c>
      <c r="G281" s="5">
        <v>0.5</v>
      </c>
      <c r="H281" s="5" t="s">
        <v>48</v>
      </c>
      <c r="I281" s="5" t="s">
        <v>34</v>
      </c>
      <c r="J281" s="5" t="s">
        <v>38</v>
      </c>
      <c r="K281" s="5" t="s">
        <v>35</v>
      </c>
      <c r="L281" s="7">
        <v>91.78</v>
      </c>
      <c r="M281" s="5">
        <v>6.85</v>
      </c>
      <c r="N281" s="5">
        <v>0.6</v>
      </c>
    </row>
    <row r="282" spans="1:14" x14ac:dyDescent="0.3">
      <c r="A282" s="2" t="s">
        <v>62</v>
      </c>
      <c r="B282" s="2" t="s">
        <v>63</v>
      </c>
      <c r="C282" s="2" t="s">
        <v>36</v>
      </c>
      <c r="D282" s="3">
        <v>45373</v>
      </c>
      <c r="E282" s="2">
        <v>9.5</v>
      </c>
      <c r="F282" s="2">
        <v>8.1999999999999993</v>
      </c>
      <c r="G282" s="2">
        <v>0.5</v>
      </c>
      <c r="H282" s="2" t="s">
        <v>37</v>
      </c>
      <c r="I282" s="2" t="s">
        <v>34</v>
      </c>
      <c r="J282" s="2" t="s">
        <v>38</v>
      </c>
      <c r="K282" s="2" t="s">
        <v>35</v>
      </c>
      <c r="L282" s="7">
        <v>86.32</v>
      </c>
      <c r="M282" s="2">
        <v>5.26</v>
      </c>
      <c r="N282" s="2">
        <v>1.3</v>
      </c>
    </row>
    <row r="283" spans="1:14" x14ac:dyDescent="0.3">
      <c r="A283" s="5" t="s">
        <v>14</v>
      </c>
      <c r="B283" s="5" t="s">
        <v>15</v>
      </c>
      <c r="C283" s="5" t="s">
        <v>36</v>
      </c>
      <c r="D283" s="6">
        <v>45348</v>
      </c>
      <c r="E283" s="5">
        <v>8.5</v>
      </c>
      <c r="F283" s="5">
        <v>4.8</v>
      </c>
      <c r="G283" s="5">
        <v>3.1</v>
      </c>
      <c r="H283" s="5" t="s">
        <v>48</v>
      </c>
      <c r="I283" s="5" t="s">
        <v>34</v>
      </c>
      <c r="J283" s="5" t="s">
        <v>29</v>
      </c>
      <c r="K283" s="5" t="s">
        <v>20</v>
      </c>
      <c r="L283" s="4">
        <v>56.47</v>
      </c>
      <c r="M283" s="5">
        <v>36.47</v>
      </c>
      <c r="N283" s="5">
        <v>3.7</v>
      </c>
    </row>
    <row r="284" spans="1:14" x14ac:dyDescent="0.3">
      <c r="A284" s="2" t="s">
        <v>14</v>
      </c>
      <c r="B284" s="2" t="s">
        <v>15</v>
      </c>
      <c r="C284" s="2" t="s">
        <v>41</v>
      </c>
      <c r="D284" s="3">
        <v>45401</v>
      </c>
      <c r="E284" s="2">
        <v>9.3000000000000007</v>
      </c>
      <c r="F284" s="2">
        <v>4</v>
      </c>
      <c r="G284" s="2">
        <v>5</v>
      </c>
      <c r="H284" s="2" t="s">
        <v>42</v>
      </c>
      <c r="I284" s="2" t="s">
        <v>34</v>
      </c>
      <c r="J284" s="2" t="s">
        <v>49</v>
      </c>
      <c r="K284" s="2" t="s">
        <v>20</v>
      </c>
      <c r="L284" s="4">
        <v>43.01</v>
      </c>
      <c r="M284" s="2">
        <v>53.76</v>
      </c>
      <c r="N284" s="2">
        <v>5.3</v>
      </c>
    </row>
    <row r="285" spans="1:14" x14ac:dyDescent="0.3">
      <c r="A285" s="5" t="s">
        <v>57</v>
      </c>
      <c r="B285" s="5" t="s">
        <v>58</v>
      </c>
      <c r="C285" s="5" t="s">
        <v>32</v>
      </c>
      <c r="D285" s="6">
        <v>45470</v>
      </c>
      <c r="E285" s="5">
        <v>8.5</v>
      </c>
      <c r="F285" s="5">
        <v>4.2</v>
      </c>
      <c r="G285" s="5">
        <v>3.9</v>
      </c>
      <c r="H285" s="5" t="s">
        <v>56</v>
      </c>
      <c r="I285" s="5" t="s">
        <v>34</v>
      </c>
      <c r="J285" s="5" t="s">
        <v>51</v>
      </c>
      <c r="K285" s="5" t="s">
        <v>20</v>
      </c>
      <c r="L285" s="4">
        <v>49.41</v>
      </c>
      <c r="M285" s="5">
        <v>45.88</v>
      </c>
      <c r="N285" s="5">
        <v>4.3</v>
      </c>
    </row>
    <row r="286" spans="1:14" x14ac:dyDescent="0.3">
      <c r="A286" s="2" t="s">
        <v>26</v>
      </c>
      <c r="B286" s="2" t="s">
        <v>27</v>
      </c>
      <c r="C286" s="2" t="s">
        <v>39</v>
      </c>
      <c r="D286" s="3">
        <v>45349</v>
      </c>
      <c r="E286" s="2">
        <v>7.8</v>
      </c>
      <c r="F286" s="2">
        <v>6.4</v>
      </c>
      <c r="G286" s="2">
        <v>0.6</v>
      </c>
      <c r="H286" s="2" t="s">
        <v>17</v>
      </c>
      <c r="I286" s="2" t="s">
        <v>18</v>
      </c>
      <c r="J286" s="2" t="s">
        <v>49</v>
      </c>
      <c r="K286" s="2" t="s">
        <v>25</v>
      </c>
      <c r="L286" s="7">
        <v>82.05</v>
      </c>
      <c r="M286" s="2">
        <v>7.69</v>
      </c>
      <c r="N286" s="2">
        <v>1.4</v>
      </c>
    </row>
    <row r="287" spans="1:14" x14ac:dyDescent="0.3">
      <c r="A287" s="5" t="s">
        <v>57</v>
      </c>
      <c r="B287" s="5" t="s">
        <v>58</v>
      </c>
      <c r="C287" s="5" t="s">
        <v>36</v>
      </c>
      <c r="D287" s="6">
        <v>45326</v>
      </c>
      <c r="E287" s="5">
        <v>8.3000000000000007</v>
      </c>
      <c r="F287" s="5">
        <v>4.5999999999999996</v>
      </c>
      <c r="G287" s="5">
        <v>3.4</v>
      </c>
      <c r="H287" s="5" t="s">
        <v>17</v>
      </c>
      <c r="I287" s="5" t="s">
        <v>18</v>
      </c>
      <c r="J287" s="5" t="s">
        <v>51</v>
      </c>
      <c r="K287" s="5" t="s">
        <v>20</v>
      </c>
      <c r="L287" s="4">
        <v>55.42</v>
      </c>
      <c r="M287" s="5">
        <v>40.96</v>
      </c>
      <c r="N287" s="5">
        <v>3.7</v>
      </c>
    </row>
    <row r="288" spans="1:14" x14ac:dyDescent="0.3">
      <c r="A288" s="2" t="s">
        <v>30</v>
      </c>
      <c r="B288" s="2" t="s">
        <v>31</v>
      </c>
      <c r="C288" s="2" t="s">
        <v>16</v>
      </c>
      <c r="D288" s="3">
        <v>45429</v>
      </c>
      <c r="E288" s="2">
        <v>10.3</v>
      </c>
      <c r="F288" s="2">
        <v>5.3</v>
      </c>
      <c r="G288" s="2">
        <v>4.7</v>
      </c>
      <c r="H288" s="2" t="s">
        <v>42</v>
      </c>
      <c r="I288" s="2" t="s">
        <v>34</v>
      </c>
      <c r="J288" s="2" t="s">
        <v>50</v>
      </c>
      <c r="K288" s="2" t="s">
        <v>20</v>
      </c>
      <c r="L288" s="4">
        <v>51.46</v>
      </c>
      <c r="M288" s="2">
        <v>45.63</v>
      </c>
      <c r="N288" s="2">
        <v>5</v>
      </c>
    </row>
    <row r="289" spans="1:14" x14ac:dyDescent="0.3">
      <c r="A289" s="5" t="s">
        <v>52</v>
      </c>
      <c r="B289" s="5" t="s">
        <v>53</v>
      </c>
      <c r="C289" s="5" t="s">
        <v>47</v>
      </c>
      <c r="D289" s="6">
        <v>45442</v>
      </c>
      <c r="E289" s="5">
        <v>10.3</v>
      </c>
      <c r="F289" s="5">
        <v>7.6</v>
      </c>
      <c r="G289" s="5">
        <v>2.2000000000000002</v>
      </c>
      <c r="H289" s="5" t="s">
        <v>56</v>
      </c>
      <c r="I289" s="5" t="s">
        <v>34</v>
      </c>
      <c r="J289" s="5" t="s">
        <v>40</v>
      </c>
      <c r="K289" s="5" t="s">
        <v>35</v>
      </c>
      <c r="L289" s="8">
        <v>73.790000000000006</v>
      </c>
      <c r="M289" s="5">
        <v>21.36</v>
      </c>
      <c r="N289" s="5">
        <v>2.7</v>
      </c>
    </row>
    <row r="290" spans="1:14" x14ac:dyDescent="0.3">
      <c r="A290" s="2" t="s">
        <v>45</v>
      </c>
      <c r="B290" s="2" t="s">
        <v>46</v>
      </c>
      <c r="C290" s="2" t="s">
        <v>47</v>
      </c>
      <c r="D290" s="3">
        <v>45340</v>
      </c>
      <c r="E290" s="2">
        <v>11.8</v>
      </c>
      <c r="F290" s="2">
        <v>5.6</v>
      </c>
      <c r="G290" s="2">
        <v>5.2</v>
      </c>
      <c r="H290" s="2" t="s">
        <v>33</v>
      </c>
      <c r="I290" s="2" t="s">
        <v>34</v>
      </c>
      <c r="J290" s="2" t="s">
        <v>24</v>
      </c>
      <c r="K290" s="2" t="s">
        <v>20</v>
      </c>
      <c r="L290" s="4">
        <v>47.46</v>
      </c>
      <c r="M290" s="2">
        <v>44.07</v>
      </c>
      <c r="N290" s="2">
        <v>6.2</v>
      </c>
    </row>
    <row r="291" spans="1:14" x14ac:dyDescent="0.3">
      <c r="A291" s="5" t="s">
        <v>62</v>
      </c>
      <c r="B291" s="5" t="s">
        <v>63</v>
      </c>
      <c r="C291" s="5" t="s">
        <v>36</v>
      </c>
      <c r="D291" s="6">
        <v>45472</v>
      </c>
      <c r="E291" s="5">
        <v>7.2</v>
      </c>
      <c r="F291" s="5">
        <v>6.8</v>
      </c>
      <c r="G291" s="5">
        <v>0</v>
      </c>
      <c r="H291" s="5" t="s">
        <v>28</v>
      </c>
      <c r="I291" s="5" t="s">
        <v>28</v>
      </c>
      <c r="J291" s="5" t="s">
        <v>38</v>
      </c>
      <c r="K291" s="5" t="s">
        <v>25</v>
      </c>
      <c r="L291" s="7">
        <v>94.44</v>
      </c>
      <c r="M291" s="5">
        <v>0</v>
      </c>
      <c r="N291" s="5">
        <v>0.4</v>
      </c>
    </row>
    <row r="292" spans="1:14" x14ac:dyDescent="0.3">
      <c r="A292" s="2" t="s">
        <v>64</v>
      </c>
      <c r="B292" s="2" t="s">
        <v>65</v>
      </c>
      <c r="C292" s="2" t="s">
        <v>36</v>
      </c>
      <c r="D292" s="3">
        <v>45458</v>
      </c>
      <c r="E292" s="2">
        <v>8.1999999999999993</v>
      </c>
      <c r="F292" s="2">
        <v>4.5999999999999996</v>
      </c>
      <c r="G292" s="2">
        <v>3.1</v>
      </c>
      <c r="H292" s="2" t="s">
        <v>33</v>
      </c>
      <c r="I292" s="2" t="s">
        <v>34</v>
      </c>
      <c r="J292" s="2" t="s">
        <v>51</v>
      </c>
      <c r="K292" s="2" t="s">
        <v>20</v>
      </c>
      <c r="L292" s="4">
        <v>56.1</v>
      </c>
      <c r="M292" s="2">
        <v>37.799999999999997</v>
      </c>
      <c r="N292" s="2">
        <v>3.6</v>
      </c>
    </row>
    <row r="293" spans="1:14" x14ac:dyDescent="0.3">
      <c r="A293" s="5" t="s">
        <v>52</v>
      </c>
      <c r="B293" s="5" t="s">
        <v>53</v>
      </c>
      <c r="C293" s="5" t="s">
        <v>39</v>
      </c>
      <c r="D293" s="6">
        <v>45412</v>
      </c>
      <c r="E293" s="5">
        <v>10.6</v>
      </c>
      <c r="F293" s="5">
        <v>6.3</v>
      </c>
      <c r="G293" s="5">
        <v>4.0999999999999996</v>
      </c>
      <c r="H293" s="5" t="s">
        <v>61</v>
      </c>
      <c r="I293" s="5" t="s">
        <v>34</v>
      </c>
      <c r="J293" s="5" t="s">
        <v>49</v>
      </c>
      <c r="K293" s="5" t="s">
        <v>20</v>
      </c>
      <c r="L293" s="4">
        <v>59.43</v>
      </c>
      <c r="M293" s="5">
        <v>38.68</v>
      </c>
      <c r="N293" s="5">
        <v>4.3</v>
      </c>
    </row>
    <row r="294" spans="1:14" x14ac:dyDescent="0.3">
      <c r="A294" s="2" t="s">
        <v>45</v>
      </c>
      <c r="B294" s="2" t="s">
        <v>46</v>
      </c>
      <c r="C294" s="2" t="s">
        <v>36</v>
      </c>
      <c r="D294" s="3">
        <v>45348</v>
      </c>
      <c r="E294" s="2">
        <v>10.4</v>
      </c>
      <c r="F294" s="2">
        <v>4.3</v>
      </c>
      <c r="G294" s="2">
        <v>5.5</v>
      </c>
      <c r="H294" s="2" t="s">
        <v>48</v>
      </c>
      <c r="I294" s="2" t="s">
        <v>34</v>
      </c>
      <c r="J294" s="2" t="s">
        <v>49</v>
      </c>
      <c r="K294" s="2" t="s">
        <v>20</v>
      </c>
      <c r="L294" s="4">
        <v>41.35</v>
      </c>
      <c r="M294" s="2">
        <v>52.88</v>
      </c>
      <c r="N294" s="2">
        <v>6.1</v>
      </c>
    </row>
    <row r="295" spans="1:14" x14ac:dyDescent="0.3">
      <c r="A295" s="5" t="s">
        <v>59</v>
      </c>
      <c r="B295" s="5" t="s">
        <v>60</v>
      </c>
      <c r="C295" s="5" t="s">
        <v>47</v>
      </c>
      <c r="D295" s="6">
        <v>45342</v>
      </c>
      <c r="E295" s="5">
        <v>8</v>
      </c>
      <c r="F295" s="5">
        <v>5</v>
      </c>
      <c r="G295" s="5">
        <v>2.2000000000000002</v>
      </c>
      <c r="H295" s="5" t="s">
        <v>33</v>
      </c>
      <c r="I295" s="5" t="s">
        <v>34</v>
      </c>
      <c r="J295" s="5" t="s">
        <v>40</v>
      </c>
      <c r="K295" s="5" t="s">
        <v>35</v>
      </c>
      <c r="L295" s="8">
        <v>62.5</v>
      </c>
      <c r="M295" s="5">
        <v>27.5</v>
      </c>
      <c r="N295" s="5">
        <v>3</v>
      </c>
    </row>
    <row r="296" spans="1:14" x14ac:dyDescent="0.3">
      <c r="A296" s="2" t="s">
        <v>64</v>
      </c>
      <c r="B296" s="2" t="s">
        <v>65</v>
      </c>
      <c r="C296" s="2" t="s">
        <v>41</v>
      </c>
      <c r="D296" s="3">
        <v>45456</v>
      </c>
      <c r="E296" s="2">
        <v>10.4</v>
      </c>
      <c r="F296" s="2">
        <v>7</v>
      </c>
      <c r="G296" s="2">
        <v>2.7</v>
      </c>
      <c r="H296" s="2" t="s">
        <v>61</v>
      </c>
      <c r="I296" s="2" t="s">
        <v>34</v>
      </c>
      <c r="J296" s="2" t="s">
        <v>29</v>
      </c>
      <c r="K296" s="2" t="s">
        <v>35</v>
      </c>
      <c r="L296" s="8">
        <v>67.31</v>
      </c>
      <c r="M296" s="2">
        <v>25.96</v>
      </c>
      <c r="N296" s="2">
        <v>3.4</v>
      </c>
    </row>
    <row r="297" spans="1:14" x14ac:dyDescent="0.3">
      <c r="A297" s="5" t="s">
        <v>62</v>
      </c>
      <c r="B297" s="5" t="s">
        <v>63</v>
      </c>
      <c r="C297" s="5" t="s">
        <v>36</v>
      </c>
      <c r="D297" s="6">
        <v>45417</v>
      </c>
      <c r="E297" s="5">
        <v>7.1</v>
      </c>
      <c r="F297" s="5">
        <v>6.6</v>
      </c>
      <c r="G297" s="5">
        <v>0</v>
      </c>
      <c r="H297" s="5" t="s">
        <v>28</v>
      </c>
      <c r="I297" s="5" t="s">
        <v>28</v>
      </c>
      <c r="J297" s="5" t="s">
        <v>50</v>
      </c>
      <c r="K297" s="5" t="s">
        <v>35</v>
      </c>
      <c r="L297" s="7">
        <v>92.96</v>
      </c>
      <c r="M297" s="5">
        <v>0</v>
      </c>
      <c r="N297" s="5">
        <v>0.5</v>
      </c>
    </row>
    <row r="298" spans="1:14" x14ac:dyDescent="0.3">
      <c r="A298" s="2" t="s">
        <v>52</v>
      </c>
      <c r="B298" s="2" t="s">
        <v>53</v>
      </c>
      <c r="C298" s="2" t="s">
        <v>39</v>
      </c>
      <c r="D298" s="3">
        <v>45463</v>
      </c>
      <c r="E298" s="2">
        <v>6.3</v>
      </c>
      <c r="F298" s="2">
        <v>2.5</v>
      </c>
      <c r="G298" s="2">
        <v>3.7</v>
      </c>
      <c r="H298" s="2" t="s">
        <v>42</v>
      </c>
      <c r="I298" s="2" t="s">
        <v>34</v>
      </c>
      <c r="J298" s="2" t="s">
        <v>24</v>
      </c>
      <c r="K298" s="2" t="s">
        <v>20</v>
      </c>
      <c r="L298" s="4">
        <v>39.68</v>
      </c>
      <c r="M298" s="2">
        <v>58.73</v>
      </c>
      <c r="N298" s="2">
        <v>3.8</v>
      </c>
    </row>
    <row r="299" spans="1:14" x14ac:dyDescent="0.3">
      <c r="A299" s="5" t="s">
        <v>52</v>
      </c>
      <c r="B299" s="5" t="s">
        <v>53</v>
      </c>
      <c r="C299" s="5" t="s">
        <v>41</v>
      </c>
      <c r="D299" s="6">
        <v>45330</v>
      </c>
      <c r="E299" s="5">
        <v>6.1</v>
      </c>
      <c r="F299" s="5">
        <v>4.3</v>
      </c>
      <c r="G299" s="5">
        <v>1.4</v>
      </c>
      <c r="H299" s="5" t="s">
        <v>48</v>
      </c>
      <c r="I299" s="5" t="s">
        <v>34</v>
      </c>
      <c r="J299" s="5" t="s">
        <v>51</v>
      </c>
      <c r="K299" s="5" t="s">
        <v>25</v>
      </c>
      <c r="L299" s="8">
        <v>70.489999999999995</v>
      </c>
      <c r="M299" s="5">
        <v>22.95</v>
      </c>
      <c r="N299" s="5">
        <v>1.8</v>
      </c>
    </row>
    <row r="300" spans="1:14" x14ac:dyDescent="0.3">
      <c r="A300" s="2" t="s">
        <v>45</v>
      </c>
      <c r="B300" s="2" t="s">
        <v>46</v>
      </c>
      <c r="C300" s="2" t="s">
        <v>16</v>
      </c>
      <c r="D300" s="3">
        <v>45428</v>
      </c>
      <c r="E300" s="2">
        <v>9.3000000000000007</v>
      </c>
      <c r="F300" s="2">
        <v>3.8</v>
      </c>
      <c r="G300" s="2">
        <v>5</v>
      </c>
      <c r="H300" s="2" t="s">
        <v>61</v>
      </c>
      <c r="I300" s="2" t="s">
        <v>34</v>
      </c>
      <c r="J300" s="2" t="s">
        <v>38</v>
      </c>
      <c r="K300" s="2" t="s">
        <v>20</v>
      </c>
      <c r="L300" s="4">
        <v>40.86</v>
      </c>
      <c r="M300" s="2">
        <v>53.76</v>
      </c>
      <c r="N300" s="2">
        <v>5.5</v>
      </c>
    </row>
    <row r="301" spans="1:14" x14ac:dyDescent="0.3">
      <c r="A301" s="5" t="s">
        <v>45</v>
      </c>
      <c r="B301" s="5" t="s">
        <v>46</v>
      </c>
      <c r="C301" s="5" t="s">
        <v>36</v>
      </c>
      <c r="D301" s="6">
        <v>45470</v>
      </c>
      <c r="E301" s="5">
        <v>10</v>
      </c>
      <c r="F301" s="5">
        <v>8.8000000000000007</v>
      </c>
      <c r="G301" s="5">
        <v>0.3</v>
      </c>
      <c r="H301" s="5" t="s">
        <v>17</v>
      </c>
      <c r="I301" s="5" t="s">
        <v>18</v>
      </c>
      <c r="J301" s="5" t="s">
        <v>19</v>
      </c>
      <c r="K301" s="5" t="s">
        <v>35</v>
      </c>
      <c r="L301" s="7">
        <v>88</v>
      </c>
      <c r="M301" s="5">
        <v>3</v>
      </c>
      <c r="N301" s="5">
        <v>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zoomScale="119" workbookViewId="0">
      <selection activeCell="B5" sqref="B5"/>
    </sheetView>
  </sheetViews>
  <sheetFormatPr defaultRowHeight="14.4" x14ac:dyDescent="0.3"/>
  <cols>
    <col min="1" max="1" width="30" customWidth="1"/>
    <col min="2" max="2" width="45" customWidth="1"/>
    <col min="3" max="3" width="40" customWidth="1"/>
  </cols>
  <sheetData>
    <row r="1" spans="1:3" ht="37.950000000000003" customHeight="1" x14ac:dyDescent="0.3">
      <c r="A1" s="22" t="s">
        <v>66</v>
      </c>
    </row>
    <row r="2" spans="1:3" x14ac:dyDescent="0.3">
      <c r="A2" s="9" t="s">
        <v>67</v>
      </c>
      <c r="B2" s="9" t="s">
        <v>68</v>
      </c>
      <c r="C2" s="9" t="s">
        <v>69</v>
      </c>
    </row>
    <row r="3" spans="1:3" ht="36" customHeight="1" x14ac:dyDescent="0.3">
      <c r="A3" s="10" t="s">
        <v>70</v>
      </c>
      <c r="B3" s="10" t="s">
        <v>71</v>
      </c>
      <c r="C3" s="10" t="s">
        <v>72</v>
      </c>
    </row>
    <row r="4" spans="1:3" ht="36" customHeight="1" x14ac:dyDescent="0.3">
      <c r="A4" s="11" t="s">
        <v>73</v>
      </c>
      <c r="B4" s="11" t="s">
        <v>74</v>
      </c>
      <c r="C4" s="11" t="s">
        <v>75</v>
      </c>
    </row>
    <row r="5" spans="1:3" ht="36" customHeight="1" x14ac:dyDescent="0.3">
      <c r="A5" s="10" t="s">
        <v>76</v>
      </c>
      <c r="B5" s="10" t="s">
        <v>77</v>
      </c>
      <c r="C5" s="10" t="s">
        <v>78</v>
      </c>
    </row>
    <row r="6" spans="1:3" ht="36" customHeight="1" x14ac:dyDescent="0.3">
      <c r="A6" s="11" t="s">
        <v>79</v>
      </c>
      <c r="B6" s="11" t="s">
        <v>80</v>
      </c>
      <c r="C6" s="11" t="s">
        <v>81</v>
      </c>
    </row>
    <row r="7" spans="1:3" ht="36" customHeight="1" x14ac:dyDescent="0.3">
      <c r="A7" s="10" t="s">
        <v>82</v>
      </c>
      <c r="B7" s="10" t="s">
        <v>83</v>
      </c>
      <c r="C7" s="10" t="s">
        <v>84</v>
      </c>
    </row>
    <row r="8" spans="1:3" ht="36" customHeight="1" x14ac:dyDescent="0.3">
      <c r="A8" s="11" t="s">
        <v>33</v>
      </c>
      <c r="B8" s="11" t="s">
        <v>85</v>
      </c>
      <c r="C8" s="11" t="s">
        <v>86</v>
      </c>
    </row>
    <row r="9" spans="1:3" ht="36" customHeight="1" x14ac:dyDescent="0.3">
      <c r="A9" s="10" t="s">
        <v>87</v>
      </c>
      <c r="B9" s="10" t="s">
        <v>88</v>
      </c>
      <c r="C9" s="10" t="s">
        <v>89</v>
      </c>
    </row>
    <row r="10" spans="1:3" ht="36" customHeight="1" x14ac:dyDescent="0.3">
      <c r="A10" s="11" t="s">
        <v>63</v>
      </c>
      <c r="B10" s="11" t="s">
        <v>90</v>
      </c>
      <c r="C10" s="11" t="s">
        <v>91</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workbookViewId="0"/>
  </sheetViews>
  <sheetFormatPr defaultRowHeight="14.4" x14ac:dyDescent="0.3"/>
  <cols>
    <col min="1" max="3" width="22" customWidth="1"/>
  </cols>
  <sheetData>
    <row r="1" spans="1:3" x14ac:dyDescent="0.3">
      <c r="A1" s="12" t="s">
        <v>1</v>
      </c>
      <c r="B1" s="12" t="s">
        <v>92</v>
      </c>
      <c r="C1" s="12" t="s">
        <v>93</v>
      </c>
    </row>
    <row r="2" spans="1:3" x14ac:dyDescent="0.3">
      <c r="A2" s="13" t="s">
        <v>22</v>
      </c>
      <c r="B2" s="13">
        <v>75.400000000000006</v>
      </c>
      <c r="C2" s="13">
        <v>33.1</v>
      </c>
    </row>
    <row r="3" spans="1:3" x14ac:dyDescent="0.3">
      <c r="A3" s="14" t="s">
        <v>53</v>
      </c>
      <c r="B3" s="14">
        <v>64.7</v>
      </c>
      <c r="C3" s="14">
        <v>82</v>
      </c>
    </row>
    <row r="4" spans="1:3" x14ac:dyDescent="0.3">
      <c r="A4" s="13" t="s">
        <v>55</v>
      </c>
      <c r="B4" s="13">
        <v>77.900000000000006</v>
      </c>
      <c r="C4" s="13">
        <v>33.4</v>
      </c>
    </row>
    <row r="5" spans="1:3" x14ac:dyDescent="0.3">
      <c r="A5" s="14" t="s">
        <v>63</v>
      </c>
      <c r="B5" s="14">
        <v>73.3</v>
      </c>
      <c r="C5" s="14">
        <v>38.5</v>
      </c>
    </row>
    <row r="6" spans="1:3" x14ac:dyDescent="0.3">
      <c r="A6" s="13" t="s">
        <v>31</v>
      </c>
      <c r="B6" s="13">
        <v>67.3</v>
      </c>
      <c r="C6" s="13">
        <v>56.1</v>
      </c>
    </row>
    <row r="7" spans="1:3" x14ac:dyDescent="0.3">
      <c r="A7" s="14" t="s">
        <v>65</v>
      </c>
      <c r="B7" s="14">
        <v>70.2</v>
      </c>
      <c r="C7" s="14">
        <v>61.8</v>
      </c>
    </row>
    <row r="8" spans="1:3" x14ac:dyDescent="0.3">
      <c r="A8" s="13" t="s">
        <v>46</v>
      </c>
      <c r="B8" s="13">
        <v>67.400000000000006</v>
      </c>
      <c r="C8" s="13">
        <v>66</v>
      </c>
    </row>
    <row r="9" spans="1:3" x14ac:dyDescent="0.3">
      <c r="A9" s="14" t="s">
        <v>58</v>
      </c>
      <c r="B9" s="14">
        <v>68.599999999999994</v>
      </c>
      <c r="C9" s="14">
        <v>58.5</v>
      </c>
    </row>
    <row r="10" spans="1:3" x14ac:dyDescent="0.3">
      <c r="A10" s="13" t="s">
        <v>15</v>
      </c>
      <c r="B10" s="13">
        <v>66.599999999999994</v>
      </c>
      <c r="C10" s="13">
        <v>98.6</v>
      </c>
    </row>
    <row r="11" spans="1:3" x14ac:dyDescent="0.3">
      <c r="A11" s="14" t="s">
        <v>60</v>
      </c>
      <c r="B11" s="14">
        <v>65.900000000000006</v>
      </c>
      <c r="C11" s="14">
        <v>59.4</v>
      </c>
    </row>
    <row r="12" spans="1:3" x14ac:dyDescent="0.3">
      <c r="A12" s="13" t="s">
        <v>44</v>
      </c>
      <c r="B12" s="13">
        <v>69.599999999999994</v>
      </c>
      <c r="C12" s="13">
        <v>48.5</v>
      </c>
    </row>
    <row r="13" spans="1:3" x14ac:dyDescent="0.3">
      <c r="A13" s="14" t="s">
        <v>27</v>
      </c>
      <c r="B13" s="14">
        <v>69.5</v>
      </c>
      <c r="C13" s="14">
        <v>76.2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F17" zoomScale="72" workbookViewId="0"/>
  </sheetViews>
  <sheetFormatPr defaultRowHeight="14.4" x14ac:dyDescent="0.3"/>
  <sheetData/>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CF56F28-BD0A-4E35-A9DD-5824A65D4CC7}">
  <ds:schemaRefs/>
</ds:datastoreItem>
</file>

<file path=customXml/itemProps2.xml><?xml version="1.0" encoding="utf-8"?>
<ds:datastoreItem xmlns:ds="http://schemas.openxmlformats.org/officeDocument/2006/customXml" ds:itemID="{0D0B1BB6-851C-489F-A00C-C5FE93496138}">
  <ds:schemaRefs/>
</ds:datastoreItem>
</file>

<file path=customXml/itemProps3.xml><?xml version="1.0" encoding="utf-8"?>
<ds:datastoreItem xmlns:ds="http://schemas.openxmlformats.org/officeDocument/2006/customXml" ds:itemID="{C3418E04-80F6-410A-A515-E51DC33A717B}">
  <ds:schemaRefs/>
</ds:datastoreItem>
</file>

<file path=customXml/itemProps4.xml><?xml version="1.0" encoding="utf-8"?>
<ds:datastoreItem xmlns:ds="http://schemas.openxmlformats.org/officeDocument/2006/customXml" ds:itemID="{F85D55A9-5B6C-464B-A988-A03E288A5009}">
  <ds:schemaRefs/>
</ds:datastoreItem>
</file>

<file path=customXml/itemProps5.xml><?xml version="1.0" encoding="utf-8"?>
<ds:datastoreItem xmlns:ds="http://schemas.openxmlformats.org/officeDocument/2006/customXml" ds:itemID="{36932029-C7AE-4F9C-A88B-794D6F0C2EF1}">
  <ds:schemaRefs/>
</ds:datastoreItem>
</file>

<file path=customXml/itemProps6.xml><?xml version="1.0" encoding="utf-8"?>
<ds:datastoreItem xmlns:ds="http://schemas.openxmlformats.org/officeDocument/2006/customXml" ds:itemID="{0F719F71-0961-4DE3-BDF5-FE2BA5EEDEAB}">
  <ds:schemaRefs/>
</ds:datastoreItem>
</file>

<file path=customXml/itemProps7.xml><?xml version="1.0" encoding="utf-8"?>
<ds:datastoreItem xmlns:ds="http://schemas.openxmlformats.org/officeDocument/2006/customXml" ds:itemID="{262347D4-5449-4704-BD26-55BEDACE434A}">
  <ds:schemaRefs/>
</ds:datastoreItem>
</file>

<file path=customXml/itemProps8.xml><?xml version="1.0" encoding="utf-8"?>
<ds:datastoreItem xmlns:ds="http://schemas.openxmlformats.org/officeDocument/2006/customXml" ds:itemID="{29EDF4EA-F489-4DE2-B333-46587B49E3F3}">
  <ds:schemaRefs/>
</ds:datastoreItem>
</file>

<file path=customXml/itemProps9.xml><?xml version="1.0" encoding="utf-8"?>
<ds:datastoreItem xmlns:ds="http://schemas.openxmlformats.org/officeDocument/2006/customXml" ds:itemID="{58CB5F23-86D1-4DF0-9E61-9F58E8618BEC}">
  <ds:schemaRefs/>
</ds:datastoreItem>
</file>

<file path=customXml/itemProps10.xml><?xml version="1.0" encoding="utf-8"?>
<ds:datastoreItem xmlns:ds="http://schemas.openxmlformats.org/officeDocument/2006/customXml" ds:itemID="{15111D7B-DD34-4980-8984-3658F4BF28B7}">
  <ds:schemaRefs/>
</ds:datastoreItem>
</file>

<file path=customXml/itemProps11.xml><?xml version="1.0" encoding="utf-8"?>
<ds:datastoreItem xmlns:ds="http://schemas.openxmlformats.org/officeDocument/2006/customXml" ds:itemID="{5469CF4E-99FC-4F58-A865-F2B462C2C258}">
  <ds:schemaRefs/>
</ds:datastoreItem>
</file>

<file path=customXml/itemProps12.xml><?xml version="1.0" encoding="utf-8"?>
<ds:datastoreItem xmlns:ds="http://schemas.openxmlformats.org/officeDocument/2006/customXml" ds:itemID="{FA20B4DE-0F98-4F27-A15D-339AB7556C70}">
  <ds:schemaRefs/>
</ds:datastoreItem>
</file>

<file path=customXml/itemProps13.xml><?xml version="1.0" encoding="utf-8"?>
<ds:datastoreItem xmlns:ds="http://schemas.openxmlformats.org/officeDocument/2006/customXml" ds:itemID="{010D4A38-8BFD-4878-8AF9-E0E41E2FB3A6}">
  <ds:schemaRefs/>
</ds:datastoreItem>
</file>

<file path=customXml/itemProps14.xml><?xml version="1.0" encoding="utf-8"?>
<ds:datastoreItem xmlns:ds="http://schemas.openxmlformats.org/officeDocument/2006/customXml" ds:itemID="{00B82315-CFD7-4A17-B9F4-CC9600CBD00B}">
  <ds:schemaRefs/>
</ds:datastoreItem>
</file>

<file path=customXml/itemProps15.xml><?xml version="1.0" encoding="utf-8"?>
<ds:datastoreItem xmlns:ds="http://schemas.openxmlformats.org/officeDocument/2006/customXml" ds:itemID="{A3160C80-BA6A-4E14-9090-913EDE94D68D}">
  <ds:schemaRefs/>
</ds:datastoreItem>
</file>

<file path=customXml/itemProps16.xml><?xml version="1.0" encoding="utf-8"?>
<ds:datastoreItem xmlns:ds="http://schemas.openxmlformats.org/officeDocument/2006/customXml" ds:itemID="{58D51DEC-140D-4150-8A80-30B8AC1039C7}">
  <ds:schemaRefs/>
</ds:datastoreItem>
</file>

<file path=customXml/itemProps17.xml><?xml version="1.0" encoding="utf-8"?>
<ds:datastoreItem xmlns:ds="http://schemas.openxmlformats.org/officeDocument/2006/customXml" ds:itemID="{7E226C9C-3BAE-419F-9832-CC6D6A3EA8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Equipment Runtime </vt:lpstr>
      <vt:lpstr>Downtime Analyse</vt:lpstr>
      <vt:lpstr>Sheet5</vt:lpstr>
      <vt:lpstr>Executive Summary</vt:lpstr>
      <vt:lpstr>Sheet3</vt:lpstr>
      <vt:lpstr>Operational Efficiency</vt:lpstr>
      <vt:lpstr>Sheet12</vt:lpstr>
      <vt:lpstr>HOSPITAL DASHBOARD</vt:lpstr>
      <vt:lpstr>Hospital_Equipment_Analysis</vt:lpstr>
      <vt:lpstr>Summary_Insights</vt:lpstr>
      <vt:lpstr>Aggregated_Data</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Raagul MDE</cp:lastModifiedBy>
  <dcterms:created xsi:type="dcterms:W3CDTF">2026-05-08T13:47:58Z</dcterms:created>
  <dcterms:modified xsi:type="dcterms:W3CDTF">2026-06-03T10:55:51Z</dcterms:modified>
</cp:coreProperties>
</file>